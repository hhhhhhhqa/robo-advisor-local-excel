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1huang/Desktop/Robo Advisor /cuhk-cdas-robo-advisor/data/final/"/>
    </mc:Choice>
  </mc:AlternateContent>
  <xr:revisionPtr revIDLastSave="0" documentId="13_ncr:1_{2C207BF8-4F0D-3742-9291-3C923E008C4B}" xr6:coauthVersionLast="47" xr6:coauthVersionMax="47" xr10:uidLastSave="{00000000-0000-0000-0000-000000000000}"/>
  <bookViews>
    <workbookView xWindow="-49280" yWindow="1820" windowWidth="29400" windowHeight="16920" xr2:uid="{00000000-000D-0000-FFFF-FFFF00000000}"/>
  </bookViews>
  <sheets>
    <sheet name="Dashboard" sheetId="1" r:id="rId1"/>
  </sheets>
  <definedNames>
    <definedName name="MonitorDates">Dashboard!$A$440:$A$460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0" i="1" l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E8" i="1"/>
  <c r="E15" i="1" l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<sst xmlns="http://schemas.openxmlformats.org/spreadsheetml/2006/main" count="174" uniqueCount="77">
  <si>
    <t>ETF trading and portfolio dashboard (USD)</t>
  </si>
  <si>
    <t>Starting cash balances</t>
  </si>
  <si>
    <t>Amount</t>
  </si>
  <si>
    <t>Valuation date (blank = latest)</t>
  </si>
  <si>
    <t>USD</t>
  </si>
  <si>
    <t>Annual risk-free rate</t>
  </si>
  <si>
    <t>JPY</t>
  </si>
  <si>
    <t>Update ETF prices</t>
  </si>
  <si>
    <t>No</t>
  </si>
  <si>
    <t>Drag the slider to inspect each trading day</t>
  </si>
  <si>
    <t>EUR</t>
  </si>
  <si>
    <t>Update FX rates</t>
  </si>
  <si>
    <t>AUD</t>
  </si>
  <si>
    <t>CNY</t>
  </si>
  <si>
    <t>Metrics as of</t>
  </si>
  <si>
    <t>Portfolio value (USD)</t>
  </si>
  <si>
    <t>Trade entry</t>
  </si>
  <si>
    <t>Return since start</t>
  </si>
  <si>
    <t>Enter trades by date; same-day rows run top to bottom.</t>
  </si>
  <si>
    <t>Sharpe (daily, annualized)</t>
  </si>
  <si>
    <t>Buy/Sell use whole shares and the selected cash currency.</t>
  </si>
  <si>
    <t>Maximum drawdown</t>
  </si>
  <si>
    <t>Exchange uses source-currency cash amount and destination.</t>
  </si>
  <si>
    <t>Current drawdown</t>
  </si>
  <si>
    <t>ETFs quote in USD; all portfolio values are in USD.</t>
  </si>
  <si>
    <t>Cash (USD value)</t>
  </si>
  <si>
    <t>Save and rerun the dashboard command to apply changes.</t>
  </si>
  <si>
    <t>ETF holdings (USD)</t>
  </si>
  <si>
    <t>ETF price cache through</t>
  </si>
  <si>
    <t>FX cache through (all four pairs)</t>
  </si>
  <si>
    <t>Drag the slider above the chart to review historical metrics.</t>
  </si>
  <si>
    <t>Daily close simulation; fees, spreads and dividends are excluded.</t>
  </si>
  <si>
    <t>Sample simulated trades; edit or delete as needed.</t>
  </si>
  <si>
    <t>Date</t>
  </si>
  <si>
    <t>Action</t>
  </si>
  <si>
    <t>ETF</t>
  </si>
  <si>
    <t>Shares / amount</t>
  </si>
  <si>
    <t>Cash currency</t>
  </si>
  <si>
    <t>To currency</t>
  </si>
  <si>
    <t>Name</t>
  </si>
  <si>
    <t>Shares</t>
  </si>
  <si>
    <t>Close USD</t>
  </si>
  <si>
    <t>Value USD</t>
  </si>
  <si>
    <t>Weight</t>
  </si>
  <si>
    <t>Exchange</t>
  </si>
  <si>
    <t>SPY</t>
  </si>
  <si>
    <t>US Large Cap</t>
  </si>
  <si>
    <t>IWM</t>
  </si>
  <si>
    <t>US Small Cap</t>
  </si>
  <si>
    <t>VGK</t>
  </si>
  <si>
    <t>Europe Equity</t>
  </si>
  <si>
    <t>EWJ</t>
  </si>
  <si>
    <t>Japan Equity</t>
  </si>
  <si>
    <t>Buy</t>
  </si>
  <si>
    <t>AGG</t>
  </si>
  <si>
    <t>US Aggregate Bond</t>
  </si>
  <si>
    <t>GLD</t>
  </si>
  <si>
    <t>Gold</t>
  </si>
  <si>
    <t>Sell</t>
  </si>
  <si>
    <t>Currency</t>
  </si>
  <si>
    <t>Cash balance</t>
  </si>
  <si>
    <t>USD per unit</t>
  </si>
  <si>
    <t>USD value</t>
  </si>
  <si>
    <t>FX date</t>
  </si>
  <si>
    <t>ETF close USD</t>
  </si>
  <si>
    <t>USD per cash unit</t>
  </si>
  <si>
    <t>Cash debit</t>
  </si>
  <si>
    <t>Cash credit</t>
  </si>
  <si>
    <t>Shares after</t>
  </si>
  <si>
    <t>Portfolio value USD</t>
  </si>
  <si>
    <t>Cash USD</t>
  </si>
  <si>
    <t>ETFs USD</t>
  </si>
  <si>
    <t>Return</t>
  </si>
  <si>
    <t>Sharpe</t>
  </si>
  <si>
    <t>Max drawdown</t>
  </si>
  <si>
    <t>Drawdown</t>
  </si>
  <si>
    <t>Selected value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</si>
</sst>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%"/>
    <numFmt numFmtId="166" formatCode="&quot;$&quot;#,##0.00"/>
    <numFmt numFmtId="167" formatCode="0.000000"/>
    <numFmt numFmtId="168" formatCode=";;;"/>
  </numFmts>
  <fonts count="8">
    <font>
      <sz val="11"/>
      <name val="Carlito"/>
    </font>
    <font>
      <b/>
      <sz val="11"/>
      <color rgb="FFFFFFFF"/>
      <name val="Arial"/>
      <family val="2"/>
    </font>
    <font>
      <b/>
      <sz val="12"/>
      <color rgb="FF17324D"/>
      <name val="Arial"/>
      <family val="2"/>
    </font>
    <font>
      <sz val="10"/>
      <color rgb="FF596B7C"/>
      <name val="Arial"/>
      <family val="2"/>
    </font>
    <font>
      <b/>
      <sz val="10"/>
      <color rgb="FF9C6500"/>
      <name val="Arial"/>
      <family val="2"/>
    </font>
    <font>
      <b/>
      <sz val="16"/>
      <color rgb="FF17324D"/>
      <name val="Arial"/>
      <family val="2"/>
    </font>
    <font>
      <sz val="10"/>
      <color rgb="FF17324D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FFF9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4" fontId="0" fillId="0" borderId="0" xfId="0" applyNumberFormat="1"/>
    <xf numFmtId="3" fontId="0" fillId="0" borderId="0" xfId="0" applyNumberFormat="1"/>
    <xf numFmtId="4" fontId="0" fillId="3" borderId="0" xfId="0" applyNumberFormat="1" applyFill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4" borderId="0" xfId="0" applyNumberFormat="1" applyFill="1"/>
    <xf numFmtId="0" fontId="0" fillId="4" borderId="0" xfId="0" applyFill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167" fontId="0" fillId="0" borderId="0" xfId="0" applyNumberFormat="1"/>
    <xf numFmtId="0" fontId="4" fillId="5" borderId="0" xfId="0" applyFont="1" applyFill="1"/>
    <xf numFmtId="168" fontId="0" fillId="0" borderId="0" xfId="0" applyNumberFormat="1"/>
    <xf numFmtId="0" fontId="5" fillId="0" borderId="0" xfId="0" applyFont="1"/>
    <xf numFmtId="0" fontId="6" fillId="0" borderId="0" xfId="0" applyFont="1"/>
    <xf numFmtId="164" fontId="0" fillId="6" borderId="0" xfId="0" applyNumberFormat="1" applyFill="1"/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HK"/>
              <a:t>Portfolio value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Dashboard!$B$439</c:f>
              <c:strCache>
                <c:ptCount val="1"/>
                <c:pt idx="0">
                  <c:v>Portfolio value USD</c:v>
                </c:pt>
              </c:strCache>
            </c:strRef>
          </c:tx>
          <c:spPr>
            <a:ln w="2540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numRef>
              <c:f>Dashboard!$A$440:$A$460</c:f>
              <c:numCache>
                <c:formatCode>yyyy\-mm\-dd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  <c:pt idx="19">
                  <c:v>46293</c:v>
                </c:pt>
                <c:pt idx="20">
                  <c:v>46294</c:v>
                </c:pt>
              </c:numCache>
            </c:numRef>
          </c:cat>
          <c:val>
            <c:numRef>
              <c:f>Dashboard!$B$440:$B$460</c:f>
              <c:numCache>
                <c:formatCode>#,##0.00</c:formatCode>
                <c:ptCount val="21"/>
                <c:pt idx="0">
                  <c:v>10000</c:v>
                </c:pt>
                <c:pt idx="1">
                  <c:v>9999.9944512197544</c:v>
                </c:pt>
                <c:pt idx="2">
                  <c:v>9991.4175442020787</c:v>
                </c:pt>
                <c:pt idx="3">
                  <c:v>10034.80013352947</c:v>
                </c:pt>
                <c:pt idx="4">
                  <c:v>10043.85529000275</c:v>
                </c:pt>
                <c:pt idx="5">
                  <c:v>10025.83615917828</c:v>
                </c:pt>
                <c:pt idx="6">
                  <c:v>10000.198748235551</c:v>
                </c:pt>
                <c:pt idx="7">
                  <c:v>9962.9649680958119</c:v>
                </c:pt>
                <c:pt idx="8">
                  <c:v>9982.8406268061117</c:v>
                </c:pt>
                <c:pt idx="9">
                  <c:v>9959.579606069181</c:v>
                </c:pt>
                <c:pt idx="10">
                  <c:v>9934.695534690949</c:v>
                </c:pt>
                <c:pt idx="11">
                  <c:v>9916.1496344295592</c:v>
                </c:pt>
                <c:pt idx="12">
                  <c:v>9947.5395294231093</c:v>
                </c:pt>
                <c:pt idx="13">
                  <c:v>9934.9978225697105</c:v>
                </c:pt>
                <c:pt idx="14">
                  <c:v>9958.0138775152645</c:v>
                </c:pt>
                <c:pt idx="15">
                  <c:v>9964.1676032479445</c:v>
                </c:pt>
                <c:pt idx="16">
                  <c:v>9917.82678365844</c:v>
                </c:pt>
                <c:pt idx="17">
                  <c:v>9891.1670999774033</c:v>
                </c:pt>
                <c:pt idx="18">
                  <c:v>9902.9847768543659</c:v>
                </c:pt>
                <c:pt idx="19">
                  <c:v>9872.8211334276002</c:v>
                </c:pt>
                <c:pt idx="20">
                  <c:v>9871.1266199564889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2A-8746-9D3C-FEA4FDB8A56F}"/>
            </c:ext>
          </c:extLst>
        </c:ser>
        <c:ser>
          <c:idx val="1"/>
          <c:order val="1"/>
          <c:tx>
            <c:strRef>
              <c:f>Dashboard!$I$439</c:f>
              <c:strCache>
                <c:ptCount val="1"/>
                <c:pt idx="0">
                  <c:v>Selected value USD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E69138"/>
              </a:solidFill>
              <a:ln>
                <a:solidFill>
                  <a:srgbClr val="E69138"/>
                </a:solidFill>
                <a:prstDash val="solid"/>
              </a:ln>
            </c:spPr>
          </c:marker>
          <c:cat>
            <c:numRef>
              <c:f>Dashboard!$A$440:$A$460</c:f>
              <c:numCache>
                <c:formatCode>yyyy\-mm\-dd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  <c:pt idx="19">
                  <c:v>46293</c:v>
                </c:pt>
                <c:pt idx="20">
                  <c:v>46294</c:v>
                </c:pt>
              </c:numCache>
            </c:numRef>
          </c:cat>
          <c:val>
            <c:numRef>
              <c:f>Dashboard!$I$440:$I$460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9871.1266199564889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2A-8746-9D3C-FEA4FDB8A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dateAx>
        <c:axId val="500"/>
        <c:scaling>
          <c:orientation val="minMax"/>
        </c:scaling>
        <c:delete val="1"/>
        <c:axPos val="b"/>
        <c:numFmt formatCode="d\-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7"/>
        <c:majorTimeUnit val="days"/>
      </c:dateAx>
      <c:valAx>
        <c:axId val="100"/>
        <c:scaling>
          <c:orientation val="minMax"/>
          <c:max val="10061.128157007381"/>
          <c:min val="9853.8537529518617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HK"/>
                  <a:t>USD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50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$F$8" horiz="1" max="21" min="1" page="5" val="2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648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5</xdr:row>
          <xdr:rowOff>12700</xdr:rowOff>
        </xdr:from>
        <xdr:to>
          <xdr:col>11</xdr:col>
          <xdr:colOff>520700</xdr:colOff>
          <xdr:row>6</xdr:row>
          <xdr:rowOff>63500</xdr:rowOff>
        </xdr:to>
        <xdr:sp macro="" textlink="">
          <xdr:nvSpPr>
            <xdr:cNvPr id="1025" name="Time Slid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M692"/>
  <sheetViews>
    <sheetView showGridLines="0" tabSelected="1" workbookViewId="0">
      <pane ySplit="25" topLeftCell="A26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3" width="16" customWidth="1"/>
    <col min="4" max="4" width="22" customWidth="1"/>
    <col min="5" max="5" width="18" customWidth="1"/>
    <col min="6" max="6" width="17" customWidth="1"/>
    <col min="7" max="7" width="3" customWidth="1"/>
    <col min="8" max="8" width="16" customWidth="1"/>
    <col min="9" max="9" width="27" customWidth="1"/>
    <col min="10" max="10" width="14" customWidth="1"/>
    <col min="11" max="12" width="18" customWidth="1"/>
    <col min="13" max="13" width="14" customWidth="1"/>
  </cols>
  <sheetData>
    <row r="1" spans="1:8" ht="20" customHeight="1">
      <c r="A1" s="20" t="s">
        <v>0</v>
      </c>
    </row>
    <row r="3" spans="1:8">
      <c r="A3" s="1" t="s">
        <v>1</v>
      </c>
      <c r="B3" s="1" t="s">
        <v>2</v>
      </c>
      <c r="D3" t="s">
        <v>3</v>
      </c>
      <c r="E3" s="7"/>
    </row>
    <row r="4" spans="1:8">
      <c r="A4" t="s">
        <v>4</v>
      </c>
      <c r="B4" s="4">
        <v>10000</v>
      </c>
      <c r="D4" t="s">
        <v>5</v>
      </c>
      <c r="E4" s="8">
        <v>0</v>
      </c>
    </row>
    <row r="5" spans="1:8">
      <c r="A5" t="s">
        <v>6</v>
      </c>
      <c r="B5" s="5">
        <v>0</v>
      </c>
      <c r="D5" t="s">
        <v>7</v>
      </c>
      <c r="E5" s="6" t="s">
        <v>8</v>
      </c>
      <c r="H5" s="21" t="s">
        <v>9</v>
      </c>
    </row>
    <row r="6" spans="1:8">
      <c r="A6" t="s">
        <v>10</v>
      </c>
      <c r="B6" s="4">
        <v>0</v>
      </c>
      <c r="D6" t="s">
        <v>11</v>
      </c>
      <c r="E6" s="6" t="s">
        <v>8</v>
      </c>
    </row>
    <row r="7" spans="1:8">
      <c r="A7" t="s">
        <v>12</v>
      </c>
      <c r="B7" s="4">
        <v>0</v>
      </c>
    </row>
    <row r="8" spans="1:8">
      <c r="A8" t="s">
        <v>13</v>
      </c>
      <c r="B8" s="4">
        <v>0</v>
      </c>
      <c r="D8" t="s">
        <v>14</v>
      </c>
      <c r="E8" s="22">
        <f>INDEX($A$440:$A$460,$F$8)</f>
        <v>46294</v>
      </c>
      <c r="F8" s="19">
        <v>21</v>
      </c>
    </row>
    <row r="9" spans="1:8">
      <c r="D9" t="s">
        <v>15</v>
      </c>
      <c r="E9" s="14">
        <f>IFERROR(IF(ISNUMBER(INDEX($B$440:$B$460,MATCH($E$8,$A$440:$A$460,0))),INDEX($B$440:$B$460,MATCH($E$8,$A$440:$A$460,0)),"n.a."),"n.a.")</f>
        <v>9871.1266199564889</v>
      </c>
    </row>
    <row r="10" spans="1:8" ht="16" customHeight="1">
      <c r="A10" s="9" t="s">
        <v>16</v>
      </c>
      <c r="D10" t="s">
        <v>17</v>
      </c>
      <c r="E10" s="15">
        <f>IFERROR(IF(ISNUMBER(INDEX($E$440:$E$460,MATCH($E$8,$A$440:$A$460,0))),INDEX($E$440:$E$460,MATCH($E$8,$A$440:$A$460,0)),"n.a."),"n.a.")</f>
        <v>-1.288733800435116E-2</v>
      </c>
    </row>
    <row r="11" spans="1:8">
      <c r="A11" s="10" t="s">
        <v>18</v>
      </c>
      <c r="D11" t="s">
        <v>19</v>
      </c>
      <c r="E11" s="16">
        <f>IFERROR(IF(ISNUMBER(INDEX($F$440:$F$460,MATCH($E$8,$A$440:$A$460,0))),INDEX($F$440:$F$460,MATCH($E$8,$A$440:$A$460,0)),"n.a."),"n.a.")</f>
        <v>-4.2251008533756877</v>
      </c>
    </row>
    <row r="12" spans="1:8">
      <c r="A12" s="10" t="s">
        <v>20</v>
      </c>
      <c r="D12" t="s">
        <v>21</v>
      </c>
      <c r="E12" s="15">
        <f>IFERROR(IF(ISNUMBER(INDEX($G$440:$G$460,MATCH($E$8,$A$440:$A$460,0))),INDEX($G$440:$G$460,MATCH($E$8,$A$440:$A$460,0)),"n.a."),"n.a.")</f>
        <v>-1.719744710163151E-2</v>
      </c>
    </row>
    <row r="13" spans="1:8">
      <c r="A13" s="10" t="s">
        <v>22</v>
      </c>
      <c r="D13" t="s">
        <v>23</v>
      </c>
      <c r="E13" s="15">
        <f>IFERROR(IF(ISNUMBER(INDEX($H$440:$H$460,MATCH($E$8,$A$440:$A$460,0))),INDEX($H$440:$H$460,MATCH($E$8,$A$440:$A$460,0)),"n.a."),"n.a.")</f>
        <v>-1.719744710163151E-2</v>
      </c>
    </row>
    <row r="14" spans="1:8">
      <c r="A14" s="10" t="s">
        <v>24</v>
      </c>
      <c r="D14" t="s">
        <v>25</v>
      </c>
      <c r="E14" s="14">
        <f>IFERROR(IF(ISNUMBER(INDEX($C$440:$C$460,MATCH($E$8,$A$440:$A$460,0))),INDEX($C$440:$C$460,MATCH($E$8,$A$440:$A$460,0)),"n.a."),"n.a.")</f>
        <v>6491.2365900492614</v>
      </c>
    </row>
    <row r="15" spans="1:8">
      <c r="A15" s="10" t="s">
        <v>26</v>
      </c>
      <c r="D15" t="s">
        <v>27</v>
      </c>
      <c r="E15" s="14">
        <f>IFERROR(IF(ISNUMBER(INDEX($D$440:$D$460,MATCH($E$8,$A$440:$A$460,0))),INDEX($D$440:$D$460,MATCH($E$8,$A$440:$A$460,0)),"n.a."),"n.a.")</f>
        <v>3379.890029907227</v>
      </c>
    </row>
    <row r="17" spans="1:13">
      <c r="D17" t="s">
        <v>28</v>
      </c>
      <c r="E17" s="11">
        <v>46294</v>
      </c>
    </row>
    <row r="18" spans="1:13">
      <c r="D18" t="s">
        <v>29</v>
      </c>
      <c r="E18" s="11">
        <v>46294</v>
      </c>
    </row>
    <row r="19" spans="1:13">
      <c r="D19" t="s">
        <v>30</v>
      </c>
    </row>
    <row r="20" spans="1:13">
      <c r="D20" t="s">
        <v>31</v>
      </c>
    </row>
    <row r="24" spans="1:13">
      <c r="A24" s="18" t="s">
        <v>32</v>
      </c>
    </row>
    <row r="26" spans="1:13" ht="25" customHeight="1">
      <c r="A26" s="23" t="s">
        <v>33</v>
      </c>
      <c r="B26" s="23" t="s">
        <v>34</v>
      </c>
      <c r="C26" s="23" t="s">
        <v>35</v>
      </c>
      <c r="D26" s="23" t="s">
        <v>36</v>
      </c>
      <c r="E26" s="23" t="s">
        <v>37</v>
      </c>
      <c r="F26" s="23" t="s">
        <v>38</v>
      </c>
      <c r="H26" s="23" t="s">
        <v>35</v>
      </c>
      <c r="I26" s="23" t="s">
        <v>39</v>
      </c>
      <c r="J26" s="23" t="s">
        <v>40</v>
      </c>
      <c r="K26" s="23" t="s">
        <v>41</v>
      </c>
      <c r="L26" s="23" t="s">
        <v>42</v>
      </c>
      <c r="M26" s="23" t="s">
        <v>43</v>
      </c>
    </row>
    <row r="27" spans="1:13">
      <c r="A27" s="12">
        <v>46266</v>
      </c>
      <c r="B27" s="13" t="s">
        <v>44</v>
      </c>
      <c r="C27" s="13"/>
      <c r="D27" s="13">
        <v>1252</v>
      </c>
      <c r="E27" s="13" t="s">
        <v>4</v>
      </c>
      <c r="F27" s="13" t="s">
        <v>6</v>
      </c>
      <c r="H27" t="s">
        <v>45</v>
      </c>
      <c r="I27" t="s">
        <v>46</v>
      </c>
      <c r="J27">
        <v>1</v>
      </c>
      <c r="K27" s="14">
        <v>764.20001220703125</v>
      </c>
      <c r="L27" s="14">
        <v>764.20001220703125</v>
      </c>
      <c r="M27" s="15">
        <v>7.74177094093845E-2</v>
      </c>
    </row>
    <row r="28" spans="1:13">
      <c r="A28" s="12">
        <v>46266</v>
      </c>
      <c r="B28" s="13" t="s">
        <v>44</v>
      </c>
      <c r="C28" s="13"/>
      <c r="D28" s="13">
        <v>1162</v>
      </c>
      <c r="E28" s="13" t="s">
        <v>4</v>
      </c>
      <c r="F28" s="13" t="s">
        <v>10</v>
      </c>
      <c r="H28" t="s">
        <v>47</v>
      </c>
      <c r="I28" t="s">
        <v>48</v>
      </c>
      <c r="J28">
        <v>2</v>
      </c>
      <c r="K28" s="14">
        <v>279.010009765625</v>
      </c>
      <c r="L28" s="14">
        <v>558.02001953125</v>
      </c>
      <c r="M28" s="15">
        <v>5.6530530000810562E-2</v>
      </c>
    </row>
    <row r="29" spans="1:13">
      <c r="A29" s="12">
        <v>46266</v>
      </c>
      <c r="B29" s="13" t="s">
        <v>44</v>
      </c>
      <c r="C29" s="13"/>
      <c r="D29" s="13">
        <v>1076</v>
      </c>
      <c r="E29" s="13" t="s">
        <v>4</v>
      </c>
      <c r="F29" s="13" t="s">
        <v>12</v>
      </c>
      <c r="H29" t="s">
        <v>49</v>
      </c>
      <c r="I29" t="s">
        <v>50</v>
      </c>
      <c r="J29">
        <v>5</v>
      </c>
      <c r="K29" s="14">
        <v>87.849998474121094</v>
      </c>
      <c r="L29" s="14">
        <v>439.24999237060553</v>
      </c>
      <c r="M29" s="15">
        <v>4.4498466009196193E-2</v>
      </c>
    </row>
    <row r="30" spans="1:13">
      <c r="A30" s="12">
        <v>46266</v>
      </c>
      <c r="B30" s="13" t="s">
        <v>44</v>
      </c>
      <c r="C30" s="13"/>
      <c r="D30" s="13">
        <v>1189</v>
      </c>
      <c r="E30" s="13" t="s">
        <v>4</v>
      </c>
      <c r="F30" s="13" t="s">
        <v>13</v>
      </c>
      <c r="H30" t="s">
        <v>51</v>
      </c>
      <c r="I30" t="s">
        <v>52</v>
      </c>
      <c r="J30">
        <v>3</v>
      </c>
      <c r="K30" s="14">
        <v>96.510002136230469</v>
      </c>
      <c r="L30" s="14">
        <v>289.53000640869141</v>
      </c>
      <c r="M30" s="15">
        <v>2.9330999140801992E-2</v>
      </c>
    </row>
    <row r="31" spans="1:13">
      <c r="A31" s="12">
        <v>46267</v>
      </c>
      <c r="B31" s="13" t="s">
        <v>53</v>
      </c>
      <c r="C31" s="13" t="s">
        <v>45</v>
      </c>
      <c r="D31" s="13">
        <v>2</v>
      </c>
      <c r="E31" s="13" t="s">
        <v>4</v>
      </c>
      <c r="F31" s="13"/>
      <c r="H31" t="s">
        <v>54</v>
      </c>
      <c r="I31" t="s">
        <v>55</v>
      </c>
      <c r="J31">
        <v>10</v>
      </c>
      <c r="K31" s="14">
        <v>94.599998474121094</v>
      </c>
      <c r="L31" s="14">
        <v>945.99998474121094</v>
      </c>
      <c r="M31" s="15">
        <v>9.5835057249562552E-2</v>
      </c>
    </row>
    <row r="32" spans="1:13">
      <c r="A32" s="12">
        <v>46267</v>
      </c>
      <c r="B32" s="13" t="s">
        <v>53</v>
      </c>
      <c r="C32" s="13" t="s">
        <v>47</v>
      </c>
      <c r="D32" s="13">
        <v>3</v>
      </c>
      <c r="E32" s="13" t="s">
        <v>6</v>
      </c>
      <c r="F32" s="13"/>
      <c r="H32" t="s">
        <v>56</v>
      </c>
      <c r="I32" t="s">
        <v>57</v>
      </c>
      <c r="J32">
        <v>1</v>
      </c>
      <c r="K32" s="14">
        <v>382.8900146484375</v>
      </c>
      <c r="L32" s="14">
        <v>382.8900146484375</v>
      </c>
      <c r="M32" s="15">
        <v>3.878888696193477E-2</v>
      </c>
    </row>
    <row r="33" spans="1:6">
      <c r="A33" s="12">
        <v>46267</v>
      </c>
      <c r="B33" s="13" t="s">
        <v>53</v>
      </c>
      <c r="C33" s="13" t="s">
        <v>49</v>
      </c>
      <c r="D33" s="13">
        <v>5</v>
      </c>
      <c r="E33" s="13" t="s">
        <v>10</v>
      </c>
      <c r="F33" s="13"/>
    </row>
    <row r="34" spans="1:6">
      <c r="A34" s="12">
        <v>46267</v>
      </c>
      <c r="B34" s="13" t="s">
        <v>53</v>
      </c>
      <c r="C34" s="13" t="s">
        <v>51</v>
      </c>
      <c r="D34" s="13">
        <v>4</v>
      </c>
      <c r="E34" s="13" t="s">
        <v>12</v>
      </c>
      <c r="F34" s="13"/>
    </row>
    <row r="35" spans="1:6">
      <c r="A35" s="12">
        <v>46267</v>
      </c>
      <c r="B35" s="13" t="s">
        <v>53</v>
      </c>
      <c r="C35" s="13" t="s">
        <v>54</v>
      </c>
      <c r="D35" s="13">
        <v>10</v>
      </c>
      <c r="E35" s="13" t="s">
        <v>13</v>
      </c>
      <c r="F35" s="13"/>
    </row>
    <row r="36" spans="1:6">
      <c r="A36" s="12">
        <v>46267</v>
      </c>
      <c r="B36" s="13" t="s">
        <v>53</v>
      </c>
      <c r="C36" s="13" t="s">
        <v>56</v>
      </c>
      <c r="D36" s="13">
        <v>1</v>
      </c>
      <c r="E36" s="13" t="s">
        <v>4</v>
      </c>
      <c r="F36" s="13"/>
    </row>
    <row r="37" spans="1:6">
      <c r="A37" s="12">
        <v>46282</v>
      </c>
      <c r="B37" s="13" t="s">
        <v>58</v>
      </c>
      <c r="C37" s="13" t="s">
        <v>45</v>
      </c>
      <c r="D37" s="13">
        <v>1</v>
      </c>
      <c r="E37" s="13" t="s">
        <v>4</v>
      </c>
      <c r="F37" s="13"/>
    </row>
    <row r="38" spans="1:6">
      <c r="A38" s="12">
        <v>46283</v>
      </c>
      <c r="B38" s="13" t="s">
        <v>58</v>
      </c>
      <c r="C38" s="13" t="s">
        <v>51</v>
      </c>
      <c r="D38" s="13">
        <v>1</v>
      </c>
      <c r="E38" s="13" t="s">
        <v>12</v>
      </c>
      <c r="F38" s="13"/>
    </row>
    <row r="39" spans="1:6">
      <c r="A39" s="12">
        <v>46286</v>
      </c>
      <c r="B39" s="13" t="s">
        <v>58</v>
      </c>
      <c r="C39" s="13" t="s">
        <v>47</v>
      </c>
      <c r="D39" s="13">
        <v>1</v>
      </c>
      <c r="E39" s="13" t="s">
        <v>6</v>
      </c>
      <c r="F39" s="13"/>
    </row>
    <row r="40" spans="1:6">
      <c r="A40" s="12">
        <v>46290</v>
      </c>
      <c r="B40" s="13" t="s">
        <v>44</v>
      </c>
      <c r="C40" s="13"/>
      <c r="D40" s="13">
        <v>30000</v>
      </c>
      <c r="E40" s="13" t="s">
        <v>6</v>
      </c>
      <c r="F40" s="13" t="s">
        <v>4</v>
      </c>
    </row>
    <row r="41" spans="1:6">
      <c r="A41" s="12"/>
      <c r="B41" s="13"/>
      <c r="C41" s="13"/>
      <c r="D41" s="13"/>
      <c r="E41" s="13"/>
      <c r="F41" s="13"/>
    </row>
    <row r="42" spans="1:6">
      <c r="A42" s="12"/>
      <c r="B42" s="13"/>
      <c r="C42" s="13"/>
      <c r="D42" s="13"/>
      <c r="E42" s="13"/>
      <c r="F42" s="13"/>
    </row>
    <row r="43" spans="1:6">
      <c r="A43" s="12"/>
      <c r="B43" s="13"/>
      <c r="C43" s="13"/>
      <c r="D43" s="13"/>
      <c r="E43" s="13"/>
      <c r="F43" s="13"/>
    </row>
    <row r="44" spans="1:6">
      <c r="A44" s="12"/>
      <c r="B44" s="13"/>
      <c r="C44" s="13"/>
      <c r="D44" s="13"/>
      <c r="E44" s="13"/>
      <c r="F44" s="13"/>
    </row>
    <row r="45" spans="1:6">
      <c r="A45" s="12"/>
      <c r="B45" s="13"/>
      <c r="C45" s="13"/>
      <c r="D45" s="13"/>
      <c r="E45" s="13"/>
      <c r="F45" s="13"/>
    </row>
    <row r="46" spans="1:6">
      <c r="A46" s="12"/>
      <c r="B46" s="13"/>
      <c r="C46" s="13"/>
      <c r="D46" s="13"/>
      <c r="E46" s="13"/>
      <c r="F46" s="13"/>
    </row>
    <row r="47" spans="1:6">
      <c r="A47" s="12"/>
      <c r="B47" s="13"/>
      <c r="C47" s="13"/>
      <c r="D47" s="13"/>
      <c r="E47" s="13"/>
      <c r="F47" s="13"/>
    </row>
    <row r="48" spans="1:6">
      <c r="A48" s="12"/>
      <c r="B48" s="13"/>
      <c r="C48" s="13"/>
      <c r="D48" s="13"/>
      <c r="E48" s="13"/>
      <c r="F48" s="13"/>
    </row>
    <row r="49" spans="1:12">
      <c r="A49" s="12"/>
      <c r="B49" s="13"/>
      <c r="C49" s="13"/>
      <c r="D49" s="13"/>
      <c r="E49" s="13"/>
      <c r="F49" s="13"/>
      <c r="H49" s="23" t="s">
        <v>59</v>
      </c>
      <c r="I49" s="23" t="s">
        <v>60</v>
      </c>
      <c r="J49" s="23" t="s">
        <v>61</v>
      </c>
      <c r="K49" s="23" t="s">
        <v>62</v>
      </c>
      <c r="L49" s="23" t="s">
        <v>63</v>
      </c>
    </row>
    <row r="50" spans="1:12">
      <c r="A50" s="12"/>
      <c r="B50" s="13"/>
      <c r="C50" s="13"/>
      <c r="D50" s="13"/>
      <c r="E50" s="13"/>
      <c r="F50" s="13"/>
      <c r="H50" t="s">
        <v>4</v>
      </c>
      <c r="I50" s="2">
        <v>4339.3999999999996</v>
      </c>
      <c r="J50" s="17">
        <v>1</v>
      </c>
      <c r="K50" s="14">
        <v>4339.3999999999996</v>
      </c>
      <c r="L50" s="11">
        <v>46294</v>
      </c>
    </row>
    <row r="51" spans="1:12">
      <c r="A51" s="12"/>
      <c r="B51" s="13"/>
      <c r="C51" s="13"/>
      <c r="D51" s="13"/>
      <c r="E51" s="13"/>
      <c r="F51" s="13"/>
      <c r="H51" t="s">
        <v>6</v>
      </c>
      <c r="I51" s="3">
        <v>73554</v>
      </c>
      <c r="J51" s="17">
        <v>6.354815031014825E-3</v>
      </c>
      <c r="K51" s="14">
        <v>467.42206479126452</v>
      </c>
      <c r="L51" s="11">
        <v>46294</v>
      </c>
    </row>
    <row r="52" spans="1:12">
      <c r="A52" s="12"/>
      <c r="B52" s="13"/>
      <c r="C52" s="13"/>
      <c r="D52" s="13"/>
      <c r="E52" s="13"/>
      <c r="F52" s="13"/>
      <c r="H52" t="s">
        <v>10</v>
      </c>
      <c r="I52" s="2">
        <v>607.98</v>
      </c>
      <c r="J52" s="17">
        <v>1.1372683048248291</v>
      </c>
      <c r="K52" s="14">
        <v>691.43638396739959</v>
      </c>
      <c r="L52" s="11">
        <v>46294</v>
      </c>
    </row>
    <row r="53" spans="1:12">
      <c r="A53" s="12"/>
      <c r="B53" s="13"/>
      <c r="C53" s="13"/>
      <c r="D53" s="13"/>
      <c r="E53" s="13"/>
      <c r="F53" s="13"/>
      <c r="H53" t="s">
        <v>12</v>
      </c>
      <c r="I53" s="2">
        <v>1098.8900000000001</v>
      </c>
      <c r="J53" s="17">
        <v>0.70164012908935547</v>
      </c>
      <c r="K53" s="14">
        <v>771.02532145500186</v>
      </c>
      <c r="L53" s="11">
        <v>46294</v>
      </c>
    </row>
    <row r="54" spans="1:12">
      <c r="A54" s="12"/>
      <c r="B54" s="13"/>
      <c r="C54" s="13"/>
      <c r="D54" s="13"/>
      <c r="E54" s="13"/>
      <c r="F54" s="13"/>
      <c r="H54" t="s">
        <v>13</v>
      </c>
      <c r="I54" s="2">
        <v>1489.37</v>
      </c>
      <c r="J54" s="17">
        <v>0.1490246344666509</v>
      </c>
      <c r="K54" s="14">
        <v>221.9528198355959</v>
      </c>
      <c r="L54" s="11">
        <v>46294</v>
      </c>
    </row>
    <row r="55" spans="1:12">
      <c r="A55" s="12"/>
      <c r="B55" s="13"/>
      <c r="C55" s="13"/>
      <c r="D55" s="13"/>
      <c r="E55" s="13"/>
      <c r="F55" s="13"/>
    </row>
    <row r="56" spans="1:12">
      <c r="A56" s="12"/>
      <c r="B56" s="13"/>
      <c r="C56" s="13"/>
      <c r="D56" s="13"/>
      <c r="E56" s="13"/>
      <c r="F56" s="13"/>
    </row>
    <row r="57" spans="1:12">
      <c r="A57" s="12"/>
      <c r="B57" s="13"/>
      <c r="C57" s="13"/>
      <c r="D57" s="13"/>
      <c r="E57" s="13"/>
      <c r="F57" s="13"/>
    </row>
    <row r="58" spans="1:12">
      <c r="A58" s="12"/>
      <c r="B58" s="13"/>
      <c r="C58" s="13"/>
      <c r="D58" s="13"/>
      <c r="E58" s="13"/>
      <c r="F58" s="13"/>
    </row>
    <row r="59" spans="1:12">
      <c r="A59" s="12"/>
      <c r="B59" s="13"/>
      <c r="C59" s="13"/>
      <c r="D59" s="13"/>
      <c r="E59" s="13"/>
      <c r="F59" s="13"/>
    </row>
    <row r="60" spans="1:12">
      <c r="A60" s="12"/>
      <c r="B60" s="13"/>
      <c r="C60" s="13"/>
      <c r="D60" s="13"/>
      <c r="E60" s="13"/>
      <c r="F60" s="13"/>
    </row>
    <row r="61" spans="1:12">
      <c r="A61" s="12"/>
      <c r="B61" s="13"/>
      <c r="C61" s="13"/>
      <c r="D61" s="13"/>
      <c r="E61" s="13"/>
      <c r="F61" s="13"/>
    </row>
    <row r="62" spans="1:12">
      <c r="A62" s="12"/>
      <c r="B62" s="13"/>
      <c r="C62" s="13"/>
      <c r="D62" s="13"/>
      <c r="E62" s="13"/>
      <c r="F62" s="13"/>
    </row>
    <row r="63" spans="1:12">
      <c r="A63" s="12"/>
      <c r="B63" s="13"/>
      <c r="C63" s="13"/>
      <c r="D63" s="13"/>
      <c r="E63" s="13"/>
      <c r="F63" s="13"/>
    </row>
    <row r="64" spans="1:12">
      <c r="A64" s="12"/>
      <c r="B64" s="13"/>
      <c r="C64" s="13"/>
      <c r="D64" s="13"/>
      <c r="E64" s="13"/>
      <c r="F64" s="13"/>
    </row>
    <row r="65" spans="1:6">
      <c r="A65" s="12"/>
      <c r="B65" s="13"/>
      <c r="C65" s="13"/>
      <c r="D65" s="13"/>
      <c r="E65" s="13"/>
      <c r="F65" s="13"/>
    </row>
    <row r="66" spans="1:6">
      <c r="A66" s="12"/>
      <c r="B66" s="13"/>
      <c r="C66" s="13"/>
      <c r="D66" s="13"/>
      <c r="E66" s="13"/>
      <c r="F66" s="13"/>
    </row>
    <row r="67" spans="1:6">
      <c r="A67" s="12"/>
      <c r="B67" s="13"/>
      <c r="C67" s="13"/>
      <c r="D67" s="13"/>
      <c r="E67" s="13"/>
      <c r="F67" s="13"/>
    </row>
    <row r="68" spans="1:6">
      <c r="A68" s="12"/>
      <c r="B68" s="13"/>
      <c r="C68" s="13"/>
      <c r="D68" s="13"/>
      <c r="E68" s="13"/>
      <c r="F68" s="13"/>
    </row>
    <row r="69" spans="1:6">
      <c r="A69" s="12"/>
      <c r="B69" s="13"/>
      <c r="C69" s="13"/>
      <c r="D69" s="13"/>
      <c r="E69" s="13"/>
      <c r="F69" s="13"/>
    </row>
    <row r="70" spans="1:6">
      <c r="A70" s="12"/>
      <c r="B70" s="13"/>
      <c r="C70" s="13"/>
      <c r="D70" s="13"/>
      <c r="E70" s="13"/>
      <c r="F70" s="13"/>
    </row>
    <row r="71" spans="1:6">
      <c r="A71" s="12"/>
      <c r="B71" s="13"/>
      <c r="C71" s="13"/>
      <c r="D71" s="13"/>
      <c r="E71" s="13"/>
      <c r="F71" s="13"/>
    </row>
    <row r="72" spans="1:6">
      <c r="A72" s="12"/>
      <c r="B72" s="13"/>
      <c r="C72" s="13"/>
      <c r="D72" s="13"/>
      <c r="E72" s="13"/>
      <c r="F72" s="13"/>
    </row>
    <row r="73" spans="1:6">
      <c r="A73" s="12"/>
      <c r="B73" s="13"/>
      <c r="C73" s="13"/>
      <c r="D73" s="13"/>
      <c r="E73" s="13"/>
      <c r="F73" s="13"/>
    </row>
    <row r="74" spans="1:6">
      <c r="A74" s="12"/>
      <c r="B74" s="13"/>
      <c r="C74" s="13"/>
      <c r="D74" s="13"/>
      <c r="E74" s="13"/>
      <c r="F74" s="13"/>
    </row>
    <row r="75" spans="1:6">
      <c r="A75" s="12"/>
      <c r="B75" s="13"/>
      <c r="C75" s="13"/>
      <c r="D75" s="13"/>
      <c r="E75" s="13"/>
      <c r="F75" s="13"/>
    </row>
    <row r="76" spans="1:6">
      <c r="A76" s="12"/>
      <c r="B76" s="13"/>
      <c r="C76" s="13"/>
      <c r="D76" s="13"/>
      <c r="E76" s="13"/>
      <c r="F76" s="13"/>
    </row>
    <row r="77" spans="1:6">
      <c r="A77" s="12"/>
      <c r="B77" s="13"/>
      <c r="C77" s="13"/>
      <c r="D77" s="13"/>
      <c r="E77" s="13"/>
      <c r="F77" s="13"/>
    </row>
    <row r="78" spans="1:6">
      <c r="A78" s="12"/>
      <c r="B78" s="13"/>
      <c r="C78" s="13"/>
      <c r="D78" s="13"/>
      <c r="E78" s="13"/>
      <c r="F78" s="13"/>
    </row>
    <row r="79" spans="1:6">
      <c r="A79" s="12"/>
      <c r="B79" s="13"/>
      <c r="C79" s="13"/>
      <c r="D79" s="13"/>
      <c r="E79" s="13"/>
      <c r="F79" s="13"/>
    </row>
    <row r="80" spans="1:6">
      <c r="A80" s="12"/>
      <c r="B80" s="13"/>
      <c r="C80" s="13"/>
      <c r="D80" s="13"/>
      <c r="E80" s="13"/>
      <c r="F80" s="13"/>
    </row>
    <row r="81" spans="1:6">
      <c r="A81" s="12"/>
      <c r="B81" s="13"/>
      <c r="C81" s="13"/>
      <c r="D81" s="13"/>
      <c r="E81" s="13"/>
      <c r="F81" s="13"/>
    </row>
    <row r="82" spans="1:6">
      <c r="A82" s="12"/>
      <c r="B82" s="13"/>
      <c r="C82" s="13"/>
      <c r="D82" s="13"/>
      <c r="E82" s="13"/>
      <c r="F82" s="13"/>
    </row>
    <row r="83" spans="1:6">
      <c r="A83" s="12"/>
      <c r="B83" s="13"/>
      <c r="C83" s="13"/>
      <c r="D83" s="13"/>
      <c r="E83" s="13"/>
      <c r="F83" s="13"/>
    </row>
    <row r="84" spans="1:6">
      <c r="A84" s="12"/>
      <c r="B84" s="13"/>
      <c r="C84" s="13"/>
      <c r="D84" s="13"/>
      <c r="E84" s="13"/>
      <c r="F84" s="13"/>
    </row>
    <row r="85" spans="1:6">
      <c r="A85" s="12"/>
      <c r="B85" s="13"/>
      <c r="C85" s="13"/>
      <c r="D85" s="13"/>
      <c r="E85" s="13"/>
      <c r="F85" s="13"/>
    </row>
    <row r="86" spans="1:6">
      <c r="A86" s="12"/>
      <c r="B86" s="13"/>
      <c r="C86" s="13"/>
      <c r="D86" s="13"/>
      <c r="E86" s="13"/>
      <c r="F86" s="13"/>
    </row>
    <row r="87" spans="1:6">
      <c r="A87" s="12"/>
      <c r="B87" s="13"/>
      <c r="C87" s="13"/>
      <c r="D87" s="13"/>
      <c r="E87" s="13"/>
      <c r="F87" s="13"/>
    </row>
    <row r="88" spans="1:6">
      <c r="A88" s="12"/>
      <c r="B88" s="13"/>
      <c r="C88" s="13"/>
      <c r="D88" s="13"/>
      <c r="E88" s="13"/>
      <c r="F88" s="13"/>
    </row>
    <row r="89" spans="1:6">
      <c r="A89" s="12"/>
      <c r="B89" s="13"/>
      <c r="C89" s="13"/>
      <c r="D89" s="13"/>
      <c r="E89" s="13"/>
      <c r="F89" s="13"/>
    </row>
    <row r="90" spans="1:6">
      <c r="A90" s="12"/>
      <c r="B90" s="13"/>
      <c r="C90" s="13"/>
      <c r="D90" s="13"/>
      <c r="E90" s="13"/>
      <c r="F90" s="13"/>
    </row>
    <row r="91" spans="1:6">
      <c r="A91" s="12"/>
      <c r="B91" s="13"/>
      <c r="C91" s="13"/>
      <c r="D91" s="13"/>
      <c r="E91" s="13"/>
      <c r="F91" s="13"/>
    </row>
    <row r="92" spans="1:6">
      <c r="A92" s="12"/>
      <c r="B92" s="13"/>
      <c r="C92" s="13"/>
      <c r="D92" s="13"/>
      <c r="E92" s="13"/>
      <c r="F92" s="13"/>
    </row>
    <row r="93" spans="1:6">
      <c r="A93" s="12"/>
      <c r="B93" s="13"/>
      <c r="C93" s="13"/>
      <c r="D93" s="13"/>
      <c r="E93" s="13"/>
      <c r="F93" s="13"/>
    </row>
    <row r="94" spans="1:6">
      <c r="A94" s="12"/>
      <c r="B94" s="13"/>
      <c r="C94" s="13"/>
      <c r="D94" s="13"/>
      <c r="E94" s="13"/>
      <c r="F94" s="13"/>
    </row>
    <row r="95" spans="1:6">
      <c r="A95" s="12"/>
      <c r="B95" s="13"/>
      <c r="C95" s="13"/>
      <c r="D95" s="13"/>
      <c r="E95" s="13"/>
      <c r="F95" s="13"/>
    </row>
    <row r="96" spans="1:6">
      <c r="A96" s="12"/>
      <c r="B96" s="13"/>
      <c r="C96" s="13"/>
      <c r="D96" s="13"/>
      <c r="E96" s="13"/>
      <c r="F96" s="13"/>
    </row>
    <row r="97" spans="1:6">
      <c r="A97" s="12"/>
      <c r="B97" s="13"/>
      <c r="C97" s="13"/>
      <c r="D97" s="13"/>
      <c r="E97" s="13"/>
      <c r="F97" s="13"/>
    </row>
    <row r="98" spans="1:6">
      <c r="A98" s="12"/>
      <c r="B98" s="13"/>
      <c r="C98" s="13"/>
      <c r="D98" s="13"/>
      <c r="E98" s="13"/>
      <c r="F98" s="13"/>
    </row>
    <row r="99" spans="1:6">
      <c r="A99" s="12"/>
      <c r="B99" s="13"/>
      <c r="C99" s="13"/>
      <c r="D99" s="13"/>
      <c r="E99" s="13"/>
      <c r="F99" s="13"/>
    </row>
    <row r="100" spans="1:6">
      <c r="A100" s="12"/>
      <c r="B100" s="13"/>
      <c r="C100" s="13"/>
      <c r="D100" s="13"/>
      <c r="E100" s="13"/>
      <c r="F100" s="13"/>
    </row>
    <row r="101" spans="1:6">
      <c r="A101" s="12"/>
      <c r="B101" s="13"/>
      <c r="C101" s="13"/>
      <c r="D101" s="13"/>
      <c r="E101" s="13"/>
      <c r="F101" s="13"/>
    </row>
    <row r="102" spans="1:6">
      <c r="A102" s="12"/>
      <c r="B102" s="13"/>
      <c r="C102" s="13"/>
      <c r="D102" s="13"/>
      <c r="E102" s="13"/>
      <c r="F102" s="13"/>
    </row>
    <row r="103" spans="1:6">
      <c r="A103" s="12"/>
      <c r="B103" s="13"/>
      <c r="C103" s="13"/>
      <c r="D103" s="13"/>
      <c r="E103" s="13"/>
      <c r="F103" s="13"/>
    </row>
    <row r="104" spans="1:6">
      <c r="A104" s="12"/>
      <c r="B104" s="13"/>
      <c r="C104" s="13"/>
      <c r="D104" s="13"/>
      <c r="E104" s="13"/>
      <c r="F104" s="13"/>
    </row>
    <row r="105" spans="1:6">
      <c r="A105" s="12"/>
      <c r="B105" s="13"/>
      <c r="C105" s="13"/>
      <c r="D105" s="13"/>
      <c r="E105" s="13"/>
      <c r="F105" s="13"/>
    </row>
    <row r="106" spans="1:6">
      <c r="A106" s="12"/>
      <c r="B106" s="13"/>
      <c r="C106" s="13"/>
      <c r="D106" s="13"/>
      <c r="E106" s="13"/>
      <c r="F106" s="13"/>
    </row>
    <row r="107" spans="1:6">
      <c r="A107" s="12"/>
      <c r="B107" s="13"/>
      <c r="C107" s="13"/>
      <c r="D107" s="13"/>
      <c r="E107" s="13"/>
      <c r="F107" s="13"/>
    </row>
    <row r="108" spans="1:6">
      <c r="A108" s="12"/>
      <c r="B108" s="13"/>
      <c r="C108" s="13"/>
      <c r="D108" s="13"/>
      <c r="E108" s="13"/>
      <c r="F108" s="13"/>
    </row>
    <row r="109" spans="1:6">
      <c r="A109" s="12"/>
      <c r="B109" s="13"/>
      <c r="C109" s="13"/>
      <c r="D109" s="13"/>
      <c r="E109" s="13"/>
      <c r="F109" s="13"/>
    </row>
    <row r="110" spans="1:6">
      <c r="A110" s="12"/>
      <c r="B110" s="13"/>
      <c r="C110" s="13"/>
      <c r="D110" s="13"/>
      <c r="E110" s="13"/>
      <c r="F110" s="13"/>
    </row>
    <row r="111" spans="1:6">
      <c r="A111" s="12"/>
      <c r="B111" s="13"/>
      <c r="C111" s="13"/>
      <c r="D111" s="13"/>
      <c r="E111" s="13"/>
      <c r="F111" s="13"/>
    </row>
    <row r="112" spans="1:6">
      <c r="A112" s="12"/>
      <c r="B112" s="13"/>
      <c r="C112" s="13"/>
      <c r="D112" s="13"/>
      <c r="E112" s="13"/>
      <c r="F112" s="13"/>
    </row>
    <row r="113" spans="1:6">
      <c r="A113" s="12"/>
      <c r="B113" s="13"/>
      <c r="C113" s="13"/>
      <c r="D113" s="13"/>
      <c r="E113" s="13"/>
      <c r="F113" s="13"/>
    </row>
    <row r="114" spans="1:6">
      <c r="A114" s="12"/>
      <c r="B114" s="13"/>
      <c r="C114" s="13"/>
      <c r="D114" s="13"/>
      <c r="E114" s="13"/>
      <c r="F114" s="13"/>
    </row>
    <row r="115" spans="1:6">
      <c r="A115" s="12"/>
      <c r="B115" s="13"/>
      <c r="C115" s="13"/>
      <c r="D115" s="13"/>
      <c r="E115" s="13"/>
      <c r="F115" s="13"/>
    </row>
    <row r="116" spans="1:6">
      <c r="A116" s="12"/>
      <c r="B116" s="13"/>
      <c r="C116" s="13"/>
      <c r="D116" s="13"/>
      <c r="E116" s="13"/>
      <c r="F116" s="13"/>
    </row>
    <row r="117" spans="1:6">
      <c r="A117" s="12"/>
      <c r="B117" s="13"/>
      <c r="C117" s="13"/>
      <c r="D117" s="13"/>
      <c r="E117" s="13"/>
      <c r="F117" s="13"/>
    </row>
    <row r="118" spans="1:6">
      <c r="A118" s="12"/>
      <c r="B118" s="13"/>
      <c r="C118" s="13"/>
      <c r="D118" s="13"/>
      <c r="E118" s="13"/>
      <c r="F118" s="13"/>
    </row>
    <row r="119" spans="1:6">
      <c r="A119" s="12"/>
      <c r="B119" s="13"/>
      <c r="C119" s="13"/>
      <c r="D119" s="13"/>
      <c r="E119" s="13"/>
      <c r="F119" s="13"/>
    </row>
    <row r="120" spans="1:6">
      <c r="A120" s="12"/>
      <c r="B120" s="13"/>
      <c r="C120" s="13"/>
      <c r="D120" s="13"/>
      <c r="E120" s="13"/>
      <c r="F120" s="13"/>
    </row>
    <row r="121" spans="1:6">
      <c r="A121" s="12"/>
      <c r="B121" s="13"/>
      <c r="C121" s="13"/>
      <c r="D121" s="13"/>
      <c r="E121" s="13"/>
      <c r="F121" s="13"/>
    </row>
    <row r="122" spans="1:6">
      <c r="A122" s="12"/>
      <c r="B122" s="13"/>
      <c r="C122" s="13"/>
      <c r="D122" s="13"/>
      <c r="E122" s="13"/>
      <c r="F122" s="13"/>
    </row>
    <row r="123" spans="1:6">
      <c r="A123" s="12"/>
      <c r="B123" s="13"/>
      <c r="C123" s="13"/>
      <c r="D123" s="13"/>
      <c r="E123" s="13"/>
      <c r="F123" s="13"/>
    </row>
    <row r="124" spans="1:6">
      <c r="A124" s="12"/>
      <c r="B124" s="13"/>
      <c r="C124" s="13"/>
      <c r="D124" s="13"/>
      <c r="E124" s="13"/>
      <c r="F124" s="13"/>
    </row>
    <row r="125" spans="1:6">
      <c r="A125" s="12"/>
      <c r="B125" s="13"/>
      <c r="C125" s="13"/>
      <c r="D125" s="13"/>
      <c r="E125" s="13"/>
      <c r="F125" s="13"/>
    </row>
    <row r="126" spans="1:6">
      <c r="A126" s="12"/>
      <c r="B126" s="13"/>
      <c r="C126" s="13"/>
      <c r="D126" s="13"/>
      <c r="E126" s="13"/>
      <c r="F126" s="13"/>
    </row>
    <row r="127" spans="1:6">
      <c r="A127" s="12"/>
      <c r="B127" s="13"/>
      <c r="C127" s="13"/>
      <c r="D127" s="13"/>
      <c r="E127" s="13"/>
      <c r="F127" s="13"/>
    </row>
    <row r="128" spans="1:6">
      <c r="A128" s="12"/>
      <c r="B128" s="13"/>
      <c r="C128" s="13"/>
      <c r="D128" s="13"/>
      <c r="E128" s="13"/>
      <c r="F128" s="13"/>
    </row>
    <row r="129" spans="1:6">
      <c r="A129" s="12"/>
      <c r="B129" s="13"/>
      <c r="C129" s="13"/>
      <c r="D129" s="13"/>
      <c r="E129" s="13"/>
      <c r="F129" s="13"/>
    </row>
    <row r="130" spans="1:6">
      <c r="A130" s="12"/>
      <c r="B130" s="13"/>
      <c r="C130" s="13"/>
      <c r="D130" s="13"/>
      <c r="E130" s="13"/>
      <c r="F130" s="13"/>
    </row>
    <row r="131" spans="1:6">
      <c r="A131" s="12"/>
      <c r="B131" s="13"/>
      <c r="C131" s="13"/>
      <c r="D131" s="13"/>
      <c r="E131" s="13"/>
      <c r="F131" s="13"/>
    </row>
    <row r="132" spans="1:6">
      <c r="A132" s="12"/>
      <c r="B132" s="13"/>
      <c r="C132" s="13"/>
      <c r="D132" s="13"/>
      <c r="E132" s="13"/>
      <c r="F132" s="13"/>
    </row>
    <row r="133" spans="1:6">
      <c r="A133" s="12"/>
      <c r="B133" s="13"/>
      <c r="C133" s="13"/>
      <c r="D133" s="13"/>
      <c r="E133" s="13"/>
      <c r="F133" s="13"/>
    </row>
    <row r="134" spans="1:6">
      <c r="A134" s="12"/>
      <c r="B134" s="13"/>
      <c r="C134" s="13"/>
      <c r="D134" s="13"/>
      <c r="E134" s="13"/>
      <c r="F134" s="13"/>
    </row>
    <row r="135" spans="1:6">
      <c r="A135" s="12"/>
      <c r="B135" s="13"/>
      <c r="C135" s="13"/>
      <c r="D135" s="13"/>
      <c r="E135" s="13"/>
      <c r="F135" s="13"/>
    </row>
    <row r="136" spans="1:6">
      <c r="A136" s="12"/>
      <c r="B136" s="13"/>
      <c r="C136" s="13"/>
      <c r="D136" s="13"/>
      <c r="E136" s="13"/>
      <c r="F136" s="13"/>
    </row>
    <row r="137" spans="1:6">
      <c r="A137" s="12"/>
      <c r="B137" s="13"/>
      <c r="C137" s="13"/>
      <c r="D137" s="13"/>
      <c r="E137" s="13"/>
      <c r="F137" s="13"/>
    </row>
    <row r="138" spans="1:6">
      <c r="A138" s="12"/>
      <c r="B138" s="13"/>
      <c r="C138" s="13"/>
      <c r="D138" s="13"/>
      <c r="E138" s="13"/>
      <c r="F138" s="13"/>
    </row>
    <row r="139" spans="1:6">
      <c r="A139" s="12"/>
      <c r="B139" s="13"/>
      <c r="C139" s="13"/>
      <c r="D139" s="13"/>
      <c r="E139" s="13"/>
      <c r="F139" s="13"/>
    </row>
    <row r="140" spans="1:6">
      <c r="A140" s="12"/>
      <c r="B140" s="13"/>
      <c r="C140" s="13"/>
      <c r="D140" s="13"/>
      <c r="E140" s="13"/>
      <c r="F140" s="13"/>
    </row>
    <row r="141" spans="1:6">
      <c r="A141" s="12"/>
      <c r="B141" s="13"/>
      <c r="C141" s="13"/>
      <c r="D141" s="13"/>
      <c r="E141" s="13"/>
      <c r="F141" s="13"/>
    </row>
    <row r="142" spans="1:6">
      <c r="A142" s="12"/>
      <c r="B142" s="13"/>
      <c r="C142" s="13"/>
      <c r="D142" s="13"/>
      <c r="E142" s="13"/>
      <c r="F142" s="13"/>
    </row>
    <row r="143" spans="1:6">
      <c r="A143" s="12"/>
      <c r="B143" s="13"/>
      <c r="C143" s="13"/>
      <c r="D143" s="13"/>
      <c r="E143" s="13"/>
      <c r="F143" s="13"/>
    </row>
    <row r="144" spans="1:6">
      <c r="A144" s="12"/>
      <c r="B144" s="13"/>
      <c r="C144" s="13"/>
      <c r="D144" s="13"/>
      <c r="E144" s="13"/>
      <c r="F144" s="13"/>
    </row>
    <row r="145" spans="1:6">
      <c r="A145" s="12"/>
      <c r="B145" s="13"/>
      <c r="C145" s="13"/>
      <c r="D145" s="13"/>
      <c r="E145" s="13"/>
      <c r="F145" s="13"/>
    </row>
    <row r="146" spans="1:6">
      <c r="A146" s="12"/>
      <c r="B146" s="13"/>
      <c r="C146" s="13"/>
      <c r="D146" s="13"/>
      <c r="E146" s="13"/>
      <c r="F146" s="13"/>
    </row>
    <row r="147" spans="1:6">
      <c r="A147" s="12"/>
      <c r="B147" s="13"/>
      <c r="C147" s="13"/>
      <c r="D147" s="13"/>
      <c r="E147" s="13"/>
      <c r="F147" s="13"/>
    </row>
    <row r="148" spans="1:6">
      <c r="A148" s="12"/>
      <c r="B148" s="13"/>
      <c r="C148" s="13"/>
      <c r="D148" s="13"/>
      <c r="E148" s="13"/>
      <c r="F148" s="13"/>
    </row>
    <row r="149" spans="1:6">
      <c r="A149" s="12"/>
      <c r="B149" s="13"/>
      <c r="C149" s="13"/>
      <c r="D149" s="13"/>
      <c r="E149" s="13"/>
      <c r="F149" s="13"/>
    </row>
    <row r="150" spans="1:6">
      <c r="A150" s="12"/>
      <c r="B150" s="13"/>
      <c r="C150" s="13"/>
      <c r="D150" s="13"/>
      <c r="E150" s="13"/>
      <c r="F150" s="13"/>
    </row>
    <row r="151" spans="1:6">
      <c r="A151" s="12"/>
      <c r="B151" s="13"/>
      <c r="C151" s="13"/>
      <c r="D151" s="13"/>
      <c r="E151" s="13"/>
      <c r="F151" s="13"/>
    </row>
    <row r="152" spans="1:6">
      <c r="A152" s="12"/>
      <c r="B152" s="13"/>
      <c r="C152" s="13"/>
      <c r="D152" s="13"/>
      <c r="E152" s="13"/>
      <c r="F152" s="13"/>
    </row>
    <row r="153" spans="1:6">
      <c r="A153" s="12"/>
      <c r="B153" s="13"/>
      <c r="C153" s="13"/>
      <c r="D153" s="13"/>
      <c r="E153" s="13"/>
      <c r="F153" s="13"/>
    </row>
    <row r="154" spans="1:6">
      <c r="A154" s="12"/>
      <c r="B154" s="13"/>
      <c r="C154" s="13"/>
      <c r="D154" s="13"/>
      <c r="E154" s="13"/>
      <c r="F154" s="13"/>
    </row>
    <row r="155" spans="1:6">
      <c r="A155" s="12"/>
      <c r="B155" s="13"/>
      <c r="C155" s="13"/>
      <c r="D155" s="13"/>
      <c r="E155" s="13"/>
      <c r="F155" s="13"/>
    </row>
    <row r="156" spans="1:6">
      <c r="A156" s="12"/>
      <c r="B156" s="13"/>
      <c r="C156" s="13"/>
      <c r="D156" s="13"/>
      <c r="E156" s="13"/>
      <c r="F156" s="13"/>
    </row>
    <row r="157" spans="1:6">
      <c r="A157" s="12"/>
      <c r="B157" s="13"/>
      <c r="C157" s="13"/>
      <c r="D157" s="13"/>
      <c r="E157" s="13"/>
      <c r="F157" s="13"/>
    </row>
    <row r="158" spans="1:6">
      <c r="A158" s="12"/>
      <c r="B158" s="13"/>
      <c r="C158" s="13"/>
      <c r="D158" s="13"/>
      <c r="E158" s="13"/>
      <c r="F158" s="13"/>
    </row>
    <row r="159" spans="1:6">
      <c r="A159" s="12"/>
      <c r="B159" s="13"/>
      <c r="C159" s="13"/>
      <c r="D159" s="13"/>
      <c r="E159" s="13"/>
      <c r="F159" s="13"/>
    </row>
    <row r="160" spans="1:6">
      <c r="A160" s="12"/>
      <c r="B160" s="13"/>
      <c r="C160" s="13"/>
      <c r="D160" s="13"/>
      <c r="E160" s="13"/>
      <c r="F160" s="13"/>
    </row>
    <row r="161" spans="1:6">
      <c r="A161" s="12"/>
      <c r="B161" s="13"/>
      <c r="C161" s="13"/>
      <c r="D161" s="13"/>
      <c r="E161" s="13"/>
      <c r="F161" s="13"/>
    </row>
    <row r="162" spans="1:6">
      <c r="A162" s="12"/>
      <c r="B162" s="13"/>
      <c r="C162" s="13"/>
      <c r="D162" s="13"/>
      <c r="E162" s="13"/>
      <c r="F162" s="13"/>
    </row>
    <row r="163" spans="1:6">
      <c r="A163" s="12"/>
      <c r="B163" s="13"/>
      <c r="C163" s="13"/>
      <c r="D163" s="13"/>
      <c r="E163" s="13"/>
      <c r="F163" s="13"/>
    </row>
    <row r="164" spans="1:6">
      <c r="A164" s="12"/>
      <c r="B164" s="13"/>
      <c r="C164" s="13"/>
      <c r="D164" s="13"/>
      <c r="E164" s="13"/>
      <c r="F164" s="13"/>
    </row>
    <row r="165" spans="1:6">
      <c r="A165" s="12"/>
      <c r="B165" s="13"/>
      <c r="C165" s="13"/>
      <c r="D165" s="13"/>
      <c r="E165" s="13"/>
      <c r="F165" s="13"/>
    </row>
    <row r="166" spans="1:6">
      <c r="A166" s="12"/>
      <c r="B166" s="13"/>
      <c r="C166" s="13"/>
      <c r="D166" s="13"/>
      <c r="E166" s="13"/>
      <c r="F166" s="13"/>
    </row>
    <row r="167" spans="1:6">
      <c r="A167" s="12"/>
      <c r="B167" s="13"/>
      <c r="C167" s="13"/>
      <c r="D167" s="13"/>
      <c r="E167" s="13"/>
      <c r="F167" s="13"/>
    </row>
    <row r="168" spans="1:6">
      <c r="A168" s="12"/>
      <c r="B168" s="13"/>
      <c r="C168" s="13"/>
      <c r="D168" s="13"/>
      <c r="E168" s="13"/>
      <c r="F168" s="13"/>
    </row>
    <row r="169" spans="1:6">
      <c r="A169" s="12"/>
      <c r="B169" s="13"/>
      <c r="C169" s="13"/>
      <c r="D169" s="13"/>
      <c r="E169" s="13"/>
      <c r="F169" s="13"/>
    </row>
    <row r="170" spans="1:6">
      <c r="A170" s="12"/>
      <c r="B170" s="13"/>
      <c r="C170" s="13"/>
      <c r="D170" s="13"/>
      <c r="E170" s="13"/>
      <c r="F170" s="13"/>
    </row>
    <row r="171" spans="1:6">
      <c r="A171" s="12"/>
      <c r="B171" s="13"/>
      <c r="C171" s="13"/>
      <c r="D171" s="13"/>
      <c r="E171" s="13"/>
      <c r="F171" s="13"/>
    </row>
    <row r="172" spans="1:6">
      <c r="A172" s="12"/>
      <c r="B172" s="13"/>
      <c r="C172" s="13"/>
      <c r="D172" s="13"/>
      <c r="E172" s="13"/>
      <c r="F172" s="13"/>
    </row>
    <row r="173" spans="1:6">
      <c r="A173" s="12"/>
      <c r="B173" s="13"/>
      <c r="C173" s="13"/>
      <c r="D173" s="13"/>
      <c r="E173" s="13"/>
      <c r="F173" s="13"/>
    </row>
    <row r="174" spans="1:6">
      <c r="A174" s="12"/>
      <c r="B174" s="13"/>
      <c r="C174" s="13"/>
      <c r="D174" s="13"/>
      <c r="E174" s="13"/>
      <c r="F174" s="13"/>
    </row>
    <row r="175" spans="1:6">
      <c r="A175" s="12"/>
      <c r="B175" s="13"/>
      <c r="C175" s="13"/>
      <c r="D175" s="13"/>
      <c r="E175" s="13"/>
      <c r="F175" s="13"/>
    </row>
    <row r="176" spans="1:6">
      <c r="A176" s="12"/>
      <c r="B176" s="13"/>
      <c r="C176" s="13"/>
      <c r="D176" s="13"/>
      <c r="E176" s="13"/>
      <c r="F176" s="13"/>
    </row>
    <row r="177" spans="1:6">
      <c r="A177" s="12"/>
      <c r="B177" s="13"/>
      <c r="C177" s="13"/>
      <c r="D177" s="13"/>
      <c r="E177" s="13"/>
      <c r="F177" s="13"/>
    </row>
    <row r="178" spans="1:6">
      <c r="A178" s="12"/>
      <c r="B178" s="13"/>
      <c r="C178" s="13"/>
      <c r="D178" s="13"/>
      <c r="E178" s="13"/>
      <c r="F178" s="13"/>
    </row>
    <row r="179" spans="1:6">
      <c r="A179" s="12"/>
      <c r="B179" s="13"/>
      <c r="C179" s="13"/>
      <c r="D179" s="13"/>
      <c r="E179" s="13"/>
      <c r="F179" s="13"/>
    </row>
    <row r="180" spans="1:6">
      <c r="A180" s="12"/>
      <c r="B180" s="13"/>
      <c r="C180" s="13"/>
      <c r="D180" s="13"/>
      <c r="E180" s="13"/>
      <c r="F180" s="13"/>
    </row>
    <row r="181" spans="1:6">
      <c r="A181" s="12"/>
      <c r="B181" s="13"/>
      <c r="C181" s="13"/>
      <c r="D181" s="13"/>
      <c r="E181" s="13"/>
      <c r="F181" s="13"/>
    </row>
    <row r="182" spans="1:6">
      <c r="A182" s="12"/>
      <c r="B182" s="13"/>
      <c r="C182" s="13"/>
      <c r="D182" s="13"/>
      <c r="E182" s="13"/>
      <c r="F182" s="13"/>
    </row>
    <row r="183" spans="1:6">
      <c r="A183" s="12"/>
      <c r="B183" s="13"/>
      <c r="C183" s="13"/>
      <c r="D183" s="13"/>
      <c r="E183" s="13"/>
      <c r="F183" s="13"/>
    </row>
    <row r="184" spans="1:6">
      <c r="A184" s="12"/>
      <c r="B184" s="13"/>
      <c r="C184" s="13"/>
      <c r="D184" s="13"/>
      <c r="E184" s="13"/>
      <c r="F184" s="13"/>
    </row>
    <row r="185" spans="1:6">
      <c r="A185" s="12"/>
      <c r="B185" s="13"/>
      <c r="C185" s="13"/>
      <c r="D185" s="13"/>
      <c r="E185" s="13"/>
      <c r="F185" s="13"/>
    </row>
    <row r="186" spans="1:6">
      <c r="A186" s="12"/>
      <c r="B186" s="13"/>
      <c r="C186" s="13"/>
      <c r="D186" s="13"/>
      <c r="E186" s="13"/>
      <c r="F186" s="13"/>
    </row>
    <row r="187" spans="1:6">
      <c r="A187" s="12"/>
      <c r="B187" s="13"/>
      <c r="C187" s="13"/>
      <c r="D187" s="13"/>
      <c r="E187" s="13"/>
      <c r="F187" s="13"/>
    </row>
    <row r="188" spans="1:6">
      <c r="A188" s="12"/>
      <c r="B188" s="13"/>
      <c r="C188" s="13"/>
      <c r="D188" s="13"/>
      <c r="E188" s="13"/>
      <c r="F188" s="13"/>
    </row>
    <row r="189" spans="1:6">
      <c r="A189" s="12"/>
      <c r="B189" s="13"/>
      <c r="C189" s="13"/>
      <c r="D189" s="13"/>
      <c r="E189" s="13"/>
      <c r="F189" s="13"/>
    </row>
    <row r="190" spans="1:6">
      <c r="A190" s="12"/>
      <c r="B190" s="13"/>
      <c r="C190" s="13"/>
      <c r="D190" s="13"/>
      <c r="E190" s="13"/>
      <c r="F190" s="13"/>
    </row>
    <row r="191" spans="1:6">
      <c r="A191" s="12"/>
      <c r="B191" s="13"/>
      <c r="C191" s="13"/>
      <c r="D191" s="13"/>
      <c r="E191" s="13"/>
      <c r="F191" s="13"/>
    </row>
    <row r="192" spans="1:6">
      <c r="A192" s="12"/>
      <c r="B192" s="13"/>
      <c r="C192" s="13"/>
      <c r="D192" s="13"/>
      <c r="E192" s="13"/>
      <c r="F192" s="13"/>
    </row>
    <row r="193" spans="1:6">
      <c r="A193" s="12"/>
      <c r="B193" s="13"/>
      <c r="C193" s="13"/>
      <c r="D193" s="13"/>
      <c r="E193" s="13"/>
      <c r="F193" s="13"/>
    </row>
    <row r="194" spans="1:6">
      <c r="A194" s="12"/>
      <c r="B194" s="13"/>
      <c r="C194" s="13"/>
      <c r="D194" s="13"/>
      <c r="E194" s="13"/>
      <c r="F194" s="13"/>
    </row>
    <row r="195" spans="1:6">
      <c r="A195" s="12"/>
      <c r="B195" s="13"/>
      <c r="C195" s="13"/>
      <c r="D195" s="13"/>
      <c r="E195" s="13"/>
      <c r="F195" s="13"/>
    </row>
    <row r="196" spans="1:6">
      <c r="A196" s="12"/>
      <c r="B196" s="13"/>
      <c r="C196" s="13"/>
      <c r="D196" s="13"/>
      <c r="E196" s="13"/>
      <c r="F196" s="13"/>
    </row>
    <row r="197" spans="1:6">
      <c r="A197" s="12"/>
      <c r="B197" s="13"/>
      <c r="C197" s="13"/>
      <c r="D197" s="13"/>
      <c r="E197" s="13"/>
      <c r="F197" s="13"/>
    </row>
    <row r="198" spans="1:6">
      <c r="A198" s="12"/>
      <c r="B198" s="13"/>
      <c r="C198" s="13"/>
      <c r="D198" s="13"/>
      <c r="E198" s="13"/>
      <c r="F198" s="13"/>
    </row>
    <row r="199" spans="1:6">
      <c r="A199" s="12"/>
      <c r="B199" s="13"/>
      <c r="C199" s="13"/>
      <c r="D199" s="13"/>
      <c r="E199" s="13"/>
      <c r="F199" s="13"/>
    </row>
    <row r="200" spans="1:6">
      <c r="A200" s="12"/>
      <c r="B200" s="13"/>
      <c r="C200" s="13"/>
      <c r="D200" s="13"/>
      <c r="E200" s="13"/>
      <c r="F200" s="13"/>
    </row>
    <row r="201" spans="1:6">
      <c r="A201" s="12"/>
      <c r="B201" s="13"/>
      <c r="C201" s="13"/>
      <c r="D201" s="13"/>
      <c r="E201" s="13"/>
      <c r="F201" s="13"/>
    </row>
    <row r="202" spans="1:6">
      <c r="A202" s="12"/>
      <c r="B202" s="13"/>
      <c r="C202" s="13"/>
      <c r="D202" s="13"/>
      <c r="E202" s="13"/>
      <c r="F202" s="13"/>
    </row>
    <row r="203" spans="1:6">
      <c r="A203" s="12"/>
      <c r="B203" s="13"/>
      <c r="C203" s="13"/>
      <c r="D203" s="13"/>
      <c r="E203" s="13"/>
      <c r="F203" s="13"/>
    </row>
    <row r="204" spans="1:6">
      <c r="A204" s="12"/>
      <c r="B204" s="13"/>
      <c r="C204" s="13"/>
      <c r="D204" s="13"/>
      <c r="E204" s="13"/>
      <c r="F204" s="13"/>
    </row>
    <row r="205" spans="1:6">
      <c r="A205" s="12"/>
      <c r="B205" s="13"/>
      <c r="C205" s="13"/>
      <c r="D205" s="13"/>
      <c r="E205" s="13"/>
      <c r="F205" s="13"/>
    </row>
    <row r="206" spans="1:6">
      <c r="A206" s="12"/>
      <c r="B206" s="13"/>
      <c r="C206" s="13"/>
      <c r="D206" s="13"/>
      <c r="E206" s="13"/>
      <c r="F206" s="13"/>
    </row>
    <row r="207" spans="1:6">
      <c r="A207" s="12"/>
      <c r="B207" s="13"/>
      <c r="C207" s="13"/>
      <c r="D207" s="13"/>
      <c r="E207" s="13"/>
      <c r="F207" s="13"/>
    </row>
    <row r="208" spans="1:6">
      <c r="A208" s="12"/>
      <c r="B208" s="13"/>
      <c r="C208" s="13"/>
      <c r="D208" s="13"/>
      <c r="E208" s="13"/>
      <c r="F208" s="13"/>
    </row>
    <row r="209" spans="1:6">
      <c r="A209" s="12"/>
      <c r="B209" s="13"/>
      <c r="C209" s="13"/>
      <c r="D209" s="13"/>
      <c r="E209" s="13"/>
      <c r="F209" s="13"/>
    </row>
    <row r="210" spans="1:6">
      <c r="A210" s="12"/>
      <c r="B210" s="13"/>
      <c r="C210" s="13"/>
      <c r="D210" s="13"/>
      <c r="E210" s="13"/>
      <c r="F210" s="13"/>
    </row>
    <row r="211" spans="1:6">
      <c r="A211" s="12"/>
      <c r="B211" s="13"/>
      <c r="C211" s="13"/>
      <c r="D211" s="13"/>
      <c r="E211" s="13"/>
      <c r="F211" s="13"/>
    </row>
    <row r="212" spans="1:6">
      <c r="A212" s="12"/>
      <c r="B212" s="13"/>
      <c r="C212" s="13"/>
      <c r="D212" s="13"/>
      <c r="E212" s="13"/>
      <c r="F212" s="13"/>
    </row>
    <row r="213" spans="1:6">
      <c r="A213" s="12"/>
      <c r="B213" s="13"/>
      <c r="C213" s="13"/>
      <c r="D213" s="13"/>
      <c r="E213" s="13"/>
      <c r="F213" s="13"/>
    </row>
    <row r="214" spans="1:6">
      <c r="A214" s="12"/>
      <c r="B214" s="13"/>
      <c r="C214" s="13"/>
      <c r="D214" s="13"/>
      <c r="E214" s="13"/>
      <c r="F214" s="13"/>
    </row>
    <row r="215" spans="1:6">
      <c r="A215" s="12"/>
      <c r="B215" s="13"/>
      <c r="C215" s="13"/>
      <c r="D215" s="13"/>
      <c r="E215" s="13"/>
      <c r="F215" s="13"/>
    </row>
    <row r="216" spans="1:6">
      <c r="A216" s="12"/>
      <c r="B216" s="13"/>
      <c r="C216" s="13"/>
      <c r="D216" s="13"/>
      <c r="E216" s="13"/>
      <c r="F216" s="13"/>
    </row>
    <row r="217" spans="1:6">
      <c r="A217" s="12"/>
      <c r="B217" s="13"/>
      <c r="C217" s="13"/>
      <c r="D217" s="13"/>
      <c r="E217" s="13"/>
      <c r="F217" s="13"/>
    </row>
    <row r="218" spans="1:6">
      <c r="A218" s="12"/>
      <c r="B218" s="13"/>
      <c r="C218" s="13"/>
      <c r="D218" s="13"/>
      <c r="E218" s="13"/>
      <c r="F218" s="13"/>
    </row>
    <row r="219" spans="1:6">
      <c r="A219" s="12"/>
      <c r="B219" s="13"/>
      <c r="C219" s="13"/>
      <c r="D219" s="13"/>
      <c r="E219" s="13"/>
      <c r="F219" s="13"/>
    </row>
    <row r="220" spans="1:6">
      <c r="A220" s="12"/>
      <c r="B220" s="13"/>
      <c r="C220" s="13"/>
      <c r="D220" s="13"/>
      <c r="E220" s="13"/>
      <c r="F220" s="13"/>
    </row>
    <row r="221" spans="1:6">
      <c r="A221" s="12"/>
      <c r="B221" s="13"/>
      <c r="C221" s="13"/>
      <c r="D221" s="13"/>
      <c r="E221" s="13"/>
      <c r="F221" s="13"/>
    </row>
    <row r="222" spans="1:6">
      <c r="A222" s="12"/>
      <c r="B222" s="13"/>
      <c r="C222" s="13"/>
      <c r="D222" s="13"/>
      <c r="E222" s="13"/>
      <c r="F222" s="13"/>
    </row>
    <row r="223" spans="1:6">
      <c r="A223" s="12"/>
      <c r="B223" s="13"/>
      <c r="C223" s="13"/>
      <c r="D223" s="13"/>
      <c r="E223" s="13"/>
      <c r="F223" s="13"/>
    </row>
    <row r="224" spans="1:6">
      <c r="A224" s="12"/>
      <c r="B224" s="13"/>
      <c r="C224" s="13"/>
      <c r="D224" s="13"/>
      <c r="E224" s="13"/>
      <c r="F224" s="13"/>
    </row>
    <row r="225" spans="1:13">
      <c r="A225" s="12"/>
      <c r="B225" s="13"/>
      <c r="C225" s="13"/>
      <c r="D225" s="13"/>
      <c r="E225" s="13"/>
      <c r="F225" s="13"/>
    </row>
    <row r="226" spans="1:13">
      <c r="A226" s="12"/>
      <c r="B226" s="13"/>
      <c r="C226" s="13"/>
      <c r="D226" s="13"/>
      <c r="E226" s="13"/>
      <c r="F226" s="13"/>
    </row>
    <row r="230" spans="1:13" ht="25" customHeight="1">
      <c r="A230" s="23" t="s">
        <v>33</v>
      </c>
      <c r="B230" s="23" t="s">
        <v>34</v>
      </c>
      <c r="C230" s="23" t="s">
        <v>35</v>
      </c>
      <c r="D230" s="23" t="s">
        <v>36</v>
      </c>
      <c r="E230" s="23" t="s">
        <v>37</v>
      </c>
      <c r="F230" s="23" t="s">
        <v>38</v>
      </c>
      <c r="G230" s="23" t="s">
        <v>64</v>
      </c>
      <c r="H230" s="23" t="s">
        <v>65</v>
      </c>
      <c r="I230" s="23" t="s">
        <v>63</v>
      </c>
      <c r="J230" s="23" t="s">
        <v>62</v>
      </c>
      <c r="K230" s="23" t="s">
        <v>66</v>
      </c>
      <c r="L230" s="23" t="s">
        <v>67</v>
      </c>
      <c r="M230" s="23" t="s">
        <v>68</v>
      </c>
    </row>
    <row r="231" spans="1:13">
      <c r="A231" s="11">
        <v>46266</v>
      </c>
      <c r="B231" t="s">
        <v>44</v>
      </c>
      <c r="D231">
        <v>1252</v>
      </c>
      <c r="E231" t="s">
        <v>4</v>
      </c>
      <c r="F231" t="s">
        <v>6</v>
      </c>
      <c r="G231" s="14"/>
      <c r="H231" s="17">
        <v>1</v>
      </c>
      <c r="I231" s="11">
        <v>46266</v>
      </c>
      <c r="J231" s="14">
        <v>1252</v>
      </c>
      <c r="K231" s="2">
        <v>1252</v>
      </c>
      <c r="L231" s="3">
        <v>200003</v>
      </c>
    </row>
    <row r="232" spans="1:13">
      <c r="A232" s="11">
        <v>46266</v>
      </c>
      <c r="B232" t="s">
        <v>44</v>
      </c>
      <c r="D232">
        <v>1162</v>
      </c>
      <c r="E232" t="s">
        <v>4</v>
      </c>
      <c r="F232" t="s">
        <v>10</v>
      </c>
      <c r="G232" s="14"/>
      <c r="H232" s="17">
        <v>1</v>
      </c>
      <c r="I232" s="11">
        <v>46266</v>
      </c>
      <c r="J232" s="14">
        <v>1162</v>
      </c>
      <c r="K232" s="2">
        <v>1162</v>
      </c>
      <c r="L232" s="2">
        <v>1000.2</v>
      </c>
    </row>
    <row r="233" spans="1:13">
      <c r="A233" s="11">
        <v>46266</v>
      </c>
      <c r="B233" t="s">
        <v>44</v>
      </c>
      <c r="D233">
        <v>1076</v>
      </c>
      <c r="E233" t="s">
        <v>4</v>
      </c>
      <c r="F233" t="s">
        <v>12</v>
      </c>
      <c r="G233" s="14"/>
      <c r="H233" s="17">
        <v>1</v>
      </c>
      <c r="I233" s="11">
        <v>46266</v>
      </c>
      <c r="J233" s="14">
        <v>1076</v>
      </c>
      <c r="K233" s="2">
        <v>1076</v>
      </c>
      <c r="L233" s="2">
        <v>1500.07</v>
      </c>
    </row>
    <row r="234" spans="1:13">
      <c r="A234" s="11">
        <v>46266</v>
      </c>
      <c r="B234" t="s">
        <v>44</v>
      </c>
      <c r="D234">
        <v>1189</v>
      </c>
      <c r="E234" t="s">
        <v>4</v>
      </c>
      <c r="F234" t="s">
        <v>13</v>
      </c>
      <c r="G234" s="14"/>
      <c r="H234" s="17">
        <v>1</v>
      </c>
      <c r="I234" s="11">
        <v>46266</v>
      </c>
      <c r="J234" s="14">
        <v>1189</v>
      </c>
      <c r="K234" s="2">
        <v>1189</v>
      </c>
      <c r="L234" s="2">
        <v>7997.21</v>
      </c>
    </row>
    <row r="235" spans="1:13">
      <c r="A235" s="11">
        <v>46267</v>
      </c>
      <c r="B235" t="s">
        <v>53</v>
      </c>
      <c r="C235" t="s">
        <v>45</v>
      </c>
      <c r="D235">
        <v>2</v>
      </c>
      <c r="E235" t="s">
        <v>4</v>
      </c>
      <c r="G235" s="14">
        <v>765.15997314453125</v>
      </c>
      <c r="H235" s="17">
        <v>1</v>
      </c>
      <c r="I235" s="11">
        <v>46267</v>
      </c>
      <c r="J235" s="14">
        <v>1530.319946289062</v>
      </c>
      <c r="K235" s="2">
        <v>1530.32</v>
      </c>
      <c r="L235" s="2">
        <v>0</v>
      </c>
      <c r="M235">
        <v>2</v>
      </c>
    </row>
    <row r="236" spans="1:13">
      <c r="A236" s="11">
        <v>46267</v>
      </c>
      <c r="B236" t="s">
        <v>53</v>
      </c>
      <c r="C236" t="s">
        <v>47</v>
      </c>
      <c r="D236">
        <v>3</v>
      </c>
      <c r="E236" t="s">
        <v>6</v>
      </c>
      <c r="G236" s="14">
        <v>294.010009765625</v>
      </c>
      <c r="H236" s="17">
        <v>6.2423531507281209E-3</v>
      </c>
      <c r="I236" s="11">
        <v>46267</v>
      </c>
      <c r="J236" s="14">
        <v>882.030029296875</v>
      </c>
      <c r="K236" s="3">
        <v>141298</v>
      </c>
      <c r="L236" s="3">
        <v>0</v>
      </c>
      <c r="M236">
        <v>3</v>
      </c>
    </row>
    <row r="237" spans="1:13">
      <c r="A237" s="11">
        <v>46267</v>
      </c>
      <c r="B237" t="s">
        <v>53</v>
      </c>
      <c r="C237" t="s">
        <v>49</v>
      </c>
      <c r="D237">
        <v>5</v>
      </c>
      <c r="E237" t="s">
        <v>10</v>
      </c>
      <c r="G237" s="14">
        <v>90.959999084472656</v>
      </c>
      <c r="H237" s="17">
        <v>1.159554719924927</v>
      </c>
      <c r="I237" s="11">
        <v>46267</v>
      </c>
      <c r="J237" s="14">
        <v>454.79999542236328</v>
      </c>
      <c r="K237" s="2">
        <v>392.22</v>
      </c>
      <c r="L237" s="2">
        <v>0</v>
      </c>
      <c r="M237">
        <v>5</v>
      </c>
    </row>
    <row r="238" spans="1:13">
      <c r="A238" s="11">
        <v>46267</v>
      </c>
      <c r="B238" t="s">
        <v>53</v>
      </c>
      <c r="C238" t="s">
        <v>51</v>
      </c>
      <c r="D238">
        <v>4</v>
      </c>
      <c r="E238" t="s">
        <v>12</v>
      </c>
      <c r="G238" s="14">
        <v>96.040000915527344</v>
      </c>
      <c r="H238" s="17">
        <v>0.71470993757247925</v>
      </c>
      <c r="I238" s="11">
        <v>46267</v>
      </c>
      <c r="J238" s="14">
        <v>384.16000366210938</v>
      </c>
      <c r="K238" s="2">
        <v>537.5</v>
      </c>
      <c r="L238" s="2">
        <v>0</v>
      </c>
      <c r="M238">
        <v>4</v>
      </c>
    </row>
    <row r="239" spans="1:13">
      <c r="A239" s="11">
        <v>46267</v>
      </c>
      <c r="B239" t="s">
        <v>53</v>
      </c>
      <c r="C239" t="s">
        <v>54</v>
      </c>
      <c r="D239">
        <v>10</v>
      </c>
      <c r="E239" t="s">
        <v>13</v>
      </c>
      <c r="G239" s="14">
        <v>96.839996337890625</v>
      </c>
      <c r="H239" s="17">
        <v>0.14880509371806319</v>
      </c>
      <c r="I239" s="11">
        <v>46267</v>
      </c>
      <c r="J239" s="14">
        <v>968.39996337890625</v>
      </c>
      <c r="K239" s="2">
        <v>6507.84</v>
      </c>
      <c r="L239" s="2">
        <v>0</v>
      </c>
      <c r="M239">
        <v>10</v>
      </c>
    </row>
    <row r="240" spans="1:13">
      <c r="A240" s="11">
        <v>46267</v>
      </c>
      <c r="B240" t="s">
        <v>53</v>
      </c>
      <c r="C240" t="s">
        <v>56</v>
      </c>
      <c r="D240">
        <v>1</v>
      </c>
      <c r="E240" t="s">
        <v>4</v>
      </c>
      <c r="G240" s="14">
        <v>402.77999877929688</v>
      </c>
      <c r="H240" s="17">
        <v>1</v>
      </c>
      <c r="I240" s="11">
        <v>46267</v>
      </c>
      <c r="J240" s="14">
        <v>402.77999877929688</v>
      </c>
      <c r="K240" s="2">
        <v>402.78</v>
      </c>
      <c r="L240" s="2">
        <v>0</v>
      </c>
      <c r="M240">
        <v>1</v>
      </c>
    </row>
    <row r="241" spans="1:13">
      <c r="A241" s="11">
        <v>46282</v>
      </c>
      <c r="B241" t="s">
        <v>58</v>
      </c>
      <c r="C241" t="s">
        <v>45</v>
      </c>
      <c r="D241">
        <v>1</v>
      </c>
      <c r="E241" t="s">
        <v>4</v>
      </c>
      <c r="G241" s="14">
        <v>762.5999755859375</v>
      </c>
      <c r="H241" s="17">
        <v>1</v>
      </c>
      <c r="I241" s="11">
        <v>46282</v>
      </c>
      <c r="J241" s="14">
        <v>762.5999755859375</v>
      </c>
      <c r="K241" s="2">
        <v>0</v>
      </c>
      <c r="L241" s="2">
        <v>762.6</v>
      </c>
      <c r="M241">
        <v>1</v>
      </c>
    </row>
    <row r="242" spans="1:13">
      <c r="A242" s="11">
        <v>46283</v>
      </c>
      <c r="B242" t="s">
        <v>58</v>
      </c>
      <c r="C242" t="s">
        <v>51</v>
      </c>
      <c r="D242">
        <v>1</v>
      </c>
      <c r="E242" t="s">
        <v>12</v>
      </c>
      <c r="G242" s="14">
        <v>97</v>
      </c>
      <c r="H242" s="17">
        <v>0.71154981851577759</v>
      </c>
      <c r="I242" s="11">
        <v>46283</v>
      </c>
      <c r="J242" s="14">
        <v>97</v>
      </c>
      <c r="K242" s="2">
        <v>0</v>
      </c>
      <c r="L242" s="2">
        <v>136.32</v>
      </c>
      <c r="M242">
        <v>3</v>
      </c>
    </row>
    <row r="243" spans="1:13">
      <c r="A243" s="11">
        <v>46286</v>
      </c>
      <c r="B243" t="s">
        <v>58</v>
      </c>
      <c r="C243" t="s">
        <v>47</v>
      </c>
      <c r="D243">
        <v>1</v>
      </c>
      <c r="E243" t="s">
        <v>6</v>
      </c>
      <c r="G243" s="14">
        <v>285.57998657226562</v>
      </c>
      <c r="H243" s="17">
        <v>6.3675608839226959E-3</v>
      </c>
      <c r="I243" s="11">
        <v>46286</v>
      </c>
      <c r="J243" s="14">
        <v>285.57998657226562</v>
      </c>
      <c r="K243" s="3">
        <v>0</v>
      </c>
      <c r="L243" s="3">
        <v>44849</v>
      </c>
      <c r="M243">
        <v>2</v>
      </c>
    </row>
    <row r="244" spans="1:13">
      <c r="A244" s="11">
        <v>46290</v>
      </c>
      <c r="B244" t="s">
        <v>44</v>
      </c>
      <c r="D244">
        <v>30000</v>
      </c>
      <c r="E244" t="s">
        <v>6</v>
      </c>
      <c r="F244" t="s">
        <v>4</v>
      </c>
      <c r="G244" s="14"/>
      <c r="H244" s="17">
        <v>6.2967928593815536E-3</v>
      </c>
      <c r="I244" s="11">
        <v>46290</v>
      </c>
      <c r="J244" s="14">
        <v>188.9037857814466</v>
      </c>
      <c r="K244" s="3">
        <v>30000</v>
      </c>
      <c r="L244" s="2">
        <v>188.9</v>
      </c>
    </row>
    <row r="439" spans="1:9" ht="25" customHeight="1">
      <c r="A439" s="23" t="s">
        <v>33</v>
      </c>
      <c r="B439" s="23" t="s">
        <v>69</v>
      </c>
      <c r="C439" s="23" t="s">
        <v>70</v>
      </c>
      <c r="D439" s="23" t="s">
        <v>71</v>
      </c>
      <c r="E439" s="23" t="s">
        <v>72</v>
      </c>
      <c r="F439" s="23" t="s">
        <v>73</v>
      </c>
      <c r="G439" s="23" t="s">
        <v>74</v>
      </c>
      <c r="H439" s="23" t="s">
        <v>75</v>
      </c>
      <c r="I439" t="s">
        <v>76</v>
      </c>
    </row>
    <row r="440" spans="1:9">
      <c r="A440" s="11">
        <v>46265</v>
      </c>
      <c r="B440" s="2">
        <v>10000</v>
      </c>
      <c r="C440" s="2">
        <v>10000</v>
      </c>
      <c r="D440" s="2">
        <v>0</v>
      </c>
      <c r="E440" s="15">
        <v>0</v>
      </c>
      <c r="F440" s="2"/>
      <c r="G440" s="15">
        <v>0</v>
      </c>
      <c r="H440" s="15">
        <v>0</v>
      </c>
      <c r="I440" t="e">
        <f t="shared" ref="I440:I460" si="0">IF(ROW()-439=$F$8,$B440,NA())</f>
        <v>#N/A</v>
      </c>
    </row>
    <row r="441" spans="1:9">
      <c r="A441" s="11">
        <v>46266</v>
      </c>
      <c r="B441" s="2">
        <v>9999.9944512197544</v>
      </c>
      <c r="C441" s="2">
        <v>9999.9944512197544</v>
      </c>
      <c r="D441" s="2">
        <v>0</v>
      </c>
      <c r="E441" s="15">
        <v>-5.5487802452791612E-7</v>
      </c>
      <c r="F441" s="2"/>
      <c r="G441" s="15">
        <v>-5.5487802452791612E-7</v>
      </c>
      <c r="H441" s="15">
        <v>-5.5487802452791612E-7</v>
      </c>
      <c r="I441" t="e">
        <f t="shared" si="0"/>
        <v>#N/A</v>
      </c>
    </row>
    <row r="442" spans="1:9">
      <c r="A442" s="11">
        <v>46267</v>
      </c>
      <c r="B442" s="2">
        <v>9991.4175442020787</v>
      </c>
      <c r="C442" s="2">
        <v>5368.9276073734654</v>
      </c>
      <c r="D442" s="2">
        <v>4622.4899368286133</v>
      </c>
      <c r="E442" s="15">
        <v>-8.5824557979208294E-4</v>
      </c>
      <c r="F442" s="2">
        <v>-11.23950541572168</v>
      </c>
      <c r="G442" s="15">
        <v>-8.5824557979208294E-4</v>
      </c>
      <c r="H442" s="15">
        <v>-8.5824557979208294E-4</v>
      </c>
      <c r="I442" t="e">
        <f t="shared" si="0"/>
        <v>#N/A</v>
      </c>
    </row>
    <row r="443" spans="1:9">
      <c r="A443" s="11">
        <v>46268</v>
      </c>
      <c r="B443" s="2">
        <v>10034.80013352947</v>
      </c>
      <c r="C443" s="2">
        <v>5372.8701942594544</v>
      </c>
      <c r="D443" s="2">
        <v>4661.9299392700204</v>
      </c>
      <c r="E443" s="15">
        <v>3.480013352947342E-3</v>
      </c>
      <c r="F443" s="2">
        <v>6.6126016261739542</v>
      </c>
      <c r="G443" s="15">
        <v>-8.5824557979208294E-4</v>
      </c>
      <c r="H443" s="15">
        <v>0</v>
      </c>
      <c r="I443" t="e">
        <f t="shared" si="0"/>
        <v>#N/A</v>
      </c>
    </row>
    <row r="444" spans="1:9">
      <c r="A444" s="11">
        <v>46269</v>
      </c>
      <c r="B444" s="2">
        <v>10043.85529000275</v>
      </c>
      <c r="C444" s="2">
        <v>5386.8552823733589</v>
      </c>
      <c r="D444" s="2">
        <v>4657.0000076293954</v>
      </c>
      <c r="E444" s="15">
        <v>4.3855290002754446E-3</v>
      </c>
      <c r="F444" s="2">
        <v>7.6350614713776919</v>
      </c>
      <c r="G444" s="15">
        <v>-8.5824557979208294E-4</v>
      </c>
      <c r="H444" s="15">
        <v>0</v>
      </c>
      <c r="I444" t="e">
        <f t="shared" si="0"/>
        <v>#N/A</v>
      </c>
    </row>
    <row r="445" spans="1:9">
      <c r="A445" s="11">
        <v>46273</v>
      </c>
      <c r="B445" s="2">
        <v>10025.83615917828</v>
      </c>
      <c r="C445" s="2">
        <v>5393.396049925349</v>
      </c>
      <c r="D445" s="2">
        <v>4632.4401092529297</v>
      </c>
      <c r="E445" s="15">
        <v>2.5836159178278528E-3</v>
      </c>
      <c r="F445" s="2">
        <v>3.4871676817093058</v>
      </c>
      <c r="G445" s="15">
        <v>-1.7940452449978219E-3</v>
      </c>
      <c r="H445" s="15">
        <v>-1.7940452449978219E-3</v>
      </c>
      <c r="I445" t="e">
        <f t="shared" si="0"/>
        <v>#N/A</v>
      </c>
    </row>
    <row r="446" spans="1:9">
      <c r="A446" s="11">
        <v>46274</v>
      </c>
      <c r="B446" s="2">
        <v>10000.198748235551</v>
      </c>
      <c r="C446" s="2">
        <v>5394.278650884472</v>
      </c>
      <c r="D446" s="2">
        <v>4605.9200973510742</v>
      </c>
      <c r="E446" s="15">
        <v>1.987482355469972E-5</v>
      </c>
      <c r="F446" s="2">
        <v>3.7633889958675358E-2</v>
      </c>
      <c r="G446" s="15">
        <v>-4.3465920711402983E-3</v>
      </c>
      <c r="H446" s="15">
        <v>-4.3465920711402983E-3</v>
      </c>
      <c r="I446" t="e">
        <f t="shared" si="0"/>
        <v>#N/A</v>
      </c>
    </row>
    <row r="447" spans="1:9">
      <c r="A447" s="11">
        <v>46275</v>
      </c>
      <c r="B447" s="2">
        <v>9962.9649680958119</v>
      </c>
      <c r="C447" s="2">
        <v>5394.4848808155384</v>
      </c>
      <c r="D447" s="2">
        <v>4568.4800872802734</v>
      </c>
      <c r="E447" s="15">
        <v>-3.7035031904187892E-3</v>
      </c>
      <c r="F447" s="2">
        <v>-3.1584583888043452</v>
      </c>
      <c r="G447" s="15">
        <v>-8.0537124013979611E-3</v>
      </c>
      <c r="H447" s="15">
        <v>-8.0537124013979611E-3</v>
      </c>
      <c r="I447" t="e">
        <f t="shared" si="0"/>
        <v>#N/A</v>
      </c>
    </row>
    <row r="448" spans="1:9">
      <c r="A448" s="11">
        <v>46276</v>
      </c>
      <c r="B448" s="2">
        <v>9982.8406268061117</v>
      </c>
      <c r="C448" s="2">
        <v>5384.6806307733978</v>
      </c>
      <c r="D448" s="2">
        <v>4598.1599960327148</v>
      </c>
      <c r="E448" s="15">
        <v>-1.7159373193887939E-3</v>
      </c>
      <c r="F448" s="2">
        <v>-1.287998931365794</v>
      </c>
      <c r="G448" s="15">
        <v>-8.0537124013979611E-3</v>
      </c>
      <c r="H448" s="15">
        <v>-6.0748249984617919E-3</v>
      </c>
      <c r="I448" t="e">
        <f t="shared" si="0"/>
        <v>#N/A</v>
      </c>
    </row>
    <row r="449" spans="1:9">
      <c r="A449" s="11">
        <v>46279</v>
      </c>
      <c r="B449" s="2">
        <v>9959.579606069181</v>
      </c>
      <c r="C449" s="2">
        <v>5385.8795709739661</v>
      </c>
      <c r="D449" s="2">
        <v>4573.7000350952148</v>
      </c>
      <c r="E449" s="15">
        <v>-4.0420393930818976E-3</v>
      </c>
      <c r="F449" s="2">
        <v>-2.793454262560453</v>
      </c>
      <c r="G449" s="15">
        <v>-8.3907704263179728E-3</v>
      </c>
      <c r="H449" s="15">
        <v>-8.3907704263179728E-3</v>
      </c>
      <c r="I449" t="e">
        <f t="shared" si="0"/>
        <v>#N/A</v>
      </c>
    </row>
    <row r="450" spans="1:9">
      <c r="A450" s="11">
        <v>46280</v>
      </c>
      <c r="B450" s="2">
        <v>9934.695534690949</v>
      </c>
      <c r="C450" s="2">
        <v>5379.3654947129216</v>
      </c>
      <c r="D450" s="2">
        <v>4555.3300399780273</v>
      </c>
      <c r="E450" s="15">
        <v>-6.5304465309050652E-3</v>
      </c>
      <c r="F450" s="2">
        <v>-4.1722007775665064</v>
      </c>
      <c r="G450" s="15">
        <v>-1.0868312232699909E-2</v>
      </c>
      <c r="H450" s="15">
        <v>-1.0868312232699909E-2</v>
      </c>
      <c r="I450" t="e">
        <f t="shared" si="0"/>
        <v>#N/A</v>
      </c>
    </row>
    <row r="451" spans="1:9">
      <c r="A451" s="11">
        <v>46281</v>
      </c>
      <c r="B451" s="2">
        <v>9916.1496344295592</v>
      </c>
      <c r="C451" s="2">
        <v>5375.2596579280953</v>
      </c>
      <c r="D451" s="2">
        <v>4540.8899765014648</v>
      </c>
      <c r="E451" s="15">
        <v>-8.3850365570440344E-3</v>
      </c>
      <c r="F451" s="2">
        <v>-5.0813254937387482</v>
      </c>
      <c r="G451" s="15">
        <v>-1.271480441382977E-2</v>
      </c>
      <c r="H451" s="15">
        <v>-1.271480441382977E-2</v>
      </c>
      <c r="I451" t="e">
        <f t="shared" si="0"/>
        <v>#N/A</v>
      </c>
    </row>
    <row r="452" spans="1:9">
      <c r="A452" s="11">
        <v>46282</v>
      </c>
      <c r="B452" s="2">
        <v>9947.5395294231093</v>
      </c>
      <c r="C452" s="2">
        <v>6128.4995437663711</v>
      </c>
      <c r="D452" s="2">
        <v>3819.0399856567378</v>
      </c>
      <c r="E452" s="15">
        <v>-5.2460470576890517E-3</v>
      </c>
      <c r="F452" s="2">
        <v>-2.7215318763688838</v>
      </c>
      <c r="G452" s="15">
        <v>-1.271480441382977E-2</v>
      </c>
      <c r="H452" s="15">
        <v>-9.5895209358016764E-3</v>
      </c>
      <c r="I452" t="e">
        <f t="shared" si="0"/>
        <v>#N/A</v>
      </c>
    </row>
    <row r="453" spans="1:9">
      <c r="A453" s="11">
        <v>46283</v>
      </c>
      <c r="B453" s="2">
        <v>9934.9978225697105</v>
      </c>
      <c r="C453" s="2">
        <v>6228.1878021229331</v>
      </c>
      <c r="D453" s="2">
        <v>3706.8100204467769</v>
      </c>
      <c r="E453" s="15">
        <v>-6.500217743029002E-3</v>
      </c>
      <c r="F453" s="2">
        <v>-3.242887506864303</v>
      </c>
      <c r="G453" s="15">
        <v>-1.271480441382977E-2</v>
      </c>
      <c r="H453" s="15">
        <v>-1.0838215435202031E-2</v>
      </c>
      <c r="I453" t="e">
        <f t="shared" si="0"/>
        <v>#N/A</v>
      </c>
    </row>
    <row r="454" spans="1:9">
      <c r="A454" s="11">
        <v>46286</v>
      </c>
      <c r="B454" s="2">
        <v>9958.0138775152645</v>
      </c>
      <c r="C454" s="2">
        <v>6512.7939220709286</v>
      </c>
      <c r="D454" s="2">
        <v>3445.2199554443359</v>
      </c>
      <c r="E454" s="15">
        <v>-4.19861224847351E-3</v>
      </c>
      <c r="F454" s="2">
        <v>-1.9181352413867989</v>
      </c>
      <c r="G454" s="15">
        <v>-1.271480441382977E-2</v>
      </c>
      <c r="H454" s="15">
        <v>-8.5466596251074778E-3</v>
      </c>
      <c r="I454" t="e">
        <f t="shared" si="0"/>
        <v>#N/A</v>
      </c>
    </row>
    <row r="455" spans="1:9">
      <c r="A455" s="11">
        <v>46287</v>
      </c>
      <c r="B455" s="2">
        <v>9964.1676032479445</v>
      </c>
      <c r="C455" s="2">
        <v>6510.3076102669866</v>
      </c>
      <c r="D455" s="2">
        <v>3453.859992980957</v>
      </c>
      <c r="E455" s="15">
        <v>-3.583239675205574E-3</v>
      </c>
      <c r="F455" s="2">
        <v>-1.574558750520924</v>
      </c>
      <c r="G455" s="15">
        <v>-1.271480441382977E-2</v>
      </c>
      <c r="H455" s="15">
        <v>-7.9339740024059191E-3</v>
      </c>
      <c r="I455" t="e">
        <f t="shared" si="0"/>
        <v>#N/A</v>
      </c>
    </row>
    <row r="456" spans="1:9">
      <c r="A456" s="11">
        <v>46288</v>
      </c>
      <c r="B456" s="2">
        <v>9917.82678365844</v>
      </c>
      <c r="C456" s="2">
        <v>6507.9966979040464</v>
      </c>
      <c r="D456" s="2">
        <v>3409.830085754395</v>
      </c>
      <c r="E456" s="15">
        <v>-8.2173216341560051E-3</v>
      </c>
      <c r="F456" s="2">
        <v>-3.1838761347927531</v>
      </c>
      <c r="G456" s="15">
        <v>-1.271480441382977E-2</v>
      </c>
      <c r="H456" s="15">
        <v>-1.25478217980457E-2</v>
      </c>
      <c r="I456" t="e">
        <f t="shared" si="0"/>
        <v>#N/A</v>
      </c>
    </row>
    <row r="457" spans="1:9">
      <c r="A457" s="11">
        <v>46289</v>
      </c>
      <c r="B457" s="2">
        <v>9891.1670999774033</v>
      </c>
      <c r="C457" s="2">
        <v>6491.6971369036719</v>
      </c>
      <c r="D457" s="2">
        <v>3399.46996307373</v>
      </c>
      <c r="E457" s="15">
        <v>-1.088329000225963E-2</v>
      </c>
      <c r="F457" s="2">
        <v>-4.0189998539097456</v>
      </c>
      <c r="G457" s="15">
        <v>-1.5202149534883301E-2</v>
      </c>
      <c r="H457" s="15">
        <v>-1.5202149534883301E-2</v>
      </c>
      <c r="I457" t="e">
        <f t="shared" si="0"/>
        <v>#N/A</v>
      </c>
    </row>
    <row r="458" spans="1:9">
      <c r="A458" s="11">
        <v>46290</v>
      </c>
      <c r="B458" s="2">
        <v>9902.9847768543659</v>
      </c>
      <c r="C458" s="2">
        <v>6486.1447805164762</v>
      </c>
      <c r="D458" s="2">
        <v>3416.8399963378911</v>
      </c>
      <c r="E458" s="15">
        <v>-9.7015223145634488E-3</v>
      </c>
      <c r="F458" s="2">
        <v>-3.430341764186648</v>
      </c>
      <c r="G458" s="15">
        <v>-1.5202149534883301E-2</v>
      </c>
      <c r="H458" s="15">
        <v>-1.4025541894117531E-2</v>
      </c>
      <c r="I458" t="e">
        <f t="shared" si="0"/>
        <v>#N/A</v>
      </c>
    </row>
    <row r="459" spans="1:9">
      <c r="A459" s="11">
        <v>46293</v>
      </c>
      <c r="B459" s="2">
        <v>9872.8211334276002</v>
      </c>
      <c r="C459" s="2">
        <v>6490.3711593675416</v>
      </c>
      <c r="D459" s="2">
        <v>3382.449974060059</v>
      </c>
      <c r="E459" s="15">
        <v>-1.2717886657239941E-2</v>
      </c>
      <c r="F459" s="2">
        <v>-4.2758320693306233</v>
      </c>
      <c r="G459" s="15">
        <v>-1.7028735643512701E-2</v>
      </c>
      <c r="H459" s="15">
        <v>-1.7028735643512701E-2</v>
      </c>
      <c r="I459" t="e">
        <f t="shared" si="0"/>
        <v>#N/A</v>
      </c>
    </row>
    <row r="460" spans="1:9">
      <c r="A460" s="11">
        <v>46294</v>
      </c>
      <c r="B460" s="2">
        <v>9871.1266199564889</v>
      </c>
      <c r="C460" s="2">
        <v>6491.2365900492614</v>
      </c>
      <c r="D460" s="2">
        <v>3379.890029907227</v>
      </c>
      <c r="E460" s="15">
        <v>-1.288733800435116E-2</v>
      </c>
      <c r="F460" s="2">
        <v>-4.2251008533756877</v>
      </c>
      <c r="G460" s="15">
        <v>-1.719744710163151E-2</v>
      </c>
      <c r="H460" s="15">
        <v>-1.719744710163151E-2</v>
      </c>
      <c r="I460">
        <f t="shared" si="0"/>
        <v>9871.1266199564889</v>
      </c>
    </row>
    <row r="461" spans="1:9">
      <c r="A461" s="11"/>
      <c r="B461" s="2"/>
      <c r="C461" s="2"/>
      <c r="D461" s="2"/>
      <c r="E461" s="15"/>
      <c r="F461" s="2"/>
      <c r="G461" s="15"/>
      <c r="H461" s="15"/>
    </row>
    <row r="462" spans="1:9">
      <c r="A462" s="11"/>
      <c r="B462" s="2"/>
      <c r="C462" s="2"/>
      <c r="D462" s="2"/>
      <c r="E462" s="15"/>
      <c r="F462" s="2"/>
      <c r="G462" s="15"/>
      <c r="H462" s="15"/>
    </row>
    <row r="463" spans="1:9">
      <c r="A463" s="11"/>
      <c r="B463" s="2"/>
      <c r="C463" s="2"/>
      <c r="D463" s="2"/>
      <c r="E463" s="15"/>
      <c r="F463" s="2"/>
      <c r="G463" s="15"/>
      <c r="H463" s="15"/>
    </row>
    <row r="464" spans="1:9">
      <c r="A464" s="11"/>
      <c r="B464" s="2"/>
      <c r="C464" s="2"/>
      <c r="D464" s="2"/>
      <c r="E464" s="15"/>
      <c r="F464" s="2"/>
      <c r="G464" s="15"/>
      <c r="H464" s="15"/>
    </row>
    <row r="465" spans="1:8">
      <c r="A465" s="11"/>
      <c r="B465" s="2"/>
      <c r="C465" s="2"/>
      <c r="D465" s="2"/>
      <c r="E465" s="15"/>
      <c r="F465" s="2"/>
      <c r="G465" s="15"/>
      <c r="H465" s="15"/>
    </row>
    <row r="466" spans="1:8">
      <c r="A466" s="11"/>
      <c r="B466" s="2"/>
      <c r="C466" s="2"/>
      <c r="D466" s="2"/>
      <c r="E466" s="15"/>
      <c r="F466" s="2"/>
      <c r="G466" s="15"/>
      <c r="H466" s="15"/>
    </row>
    <row r="467" spans="1:8">
      <c r="A467" s="11"/>
      <c r="B467" s="2"/>
      <c r="C467" s="2"/>
      <c r="D467" s="2"/>
      <c r="E467" s="15"/>
      <c r="F467" s="2"/>
      <c r="G467" s="15"/>
      <c r="H467" s="15"/>
    </row>
    <row r="468" spans="1:8">
      <c r="A468" s="11"/>
      <c r="B468" s="2"/>
      <c r="C468" s="2"/>
      <c r="D468" s="2"/>
      <c r="E468" s="15"/>
      <c r="F468" s="2"/>
      <c r="G468" s="15"/>
      <c r="H468" s="15"/>
    </row>
    <row r="469" spans="1:8">
      <c r="A469" s="11"/>
      <c r="B469" s="2"/>
      <c r="C469" s="2"/>
      <c r="D469" s="2"/>
      <c r="E469" s="15"/>
      <c r="F469" s="2"/>
      <c r="G469" s="15"/>
      <c r="H469" s="15"/>
    </row>
    <row r="470" spans="1:8">
      <c r="A470" s="11"/>
      <c r="B470" s="2"/>
      <c r="C470" s="2"/>
      <c r="D470" s="2"/>
      <c r="E470" s="15"/>
      <c r="F470" s="2"/>
      <c r="G470" s="15"/>
      <c r="H470" s="15"/>
    </row>
    <row r="471" spans="1:8">
      <c r="A471" s="11"/>
      <c r="B471" s="2"/>
      <c r="C471" s="2"/>
      <c r="D471" s="2"/>
      <c r="E471" s="15"/>
      <c r="F471" s="2"/>
      <c r="G471" s="15"/>
      <c r="H471" s="15"/>
    </row>
    <row r="472" spans="1:8">
      <c r="A472" s="11"/>
      <c r="B472" s="2"/>
      <c r="C472" s="2"/>
      <c r="D472" s="2"/>
      <c r="E472" s="15"/>
      <c r="F472" s="2"/>
      <c r="G472" s="15"/>
      <c r="H472" s="15"/>
    </row>
    <row r="473" spans="1:8">
      <c r="A473" s="11"/>
      <c r="B473" s="2"/>
      <c r="C473" s="2"/>
      <c r="D473" s="2"/>
      <c r="E473" s="15"/>
      <c r="F473" s="2"/>
      <c r="G473" s="15"/>
      <c r="H473" s="15"/>
    </row>
    <row r="474" spans="1:8">
      <c r="A474" s="11"/>
      <c r="B474" s="2"/>
      <c r="C474" s="2"/>
      <c r="D474" s="2"/>
      <c r="E474" s="15"/>
      <c r="F474" s="2"/>
      <c r="G474" s="15"/>
      <c r="H474" s="15"/>
    </row>
    <row r="475" spans="1:8">
      <c r="A475" s="11"/>
      <c r="B475" s="2"/>
      <c r="C475" s="2"/>
      <c r="D475" s="2"/>
      <c r="E475" s="15"/>
      <c r="F475" s="2"/>
      <c r="G475" s="15"/>
      <c r="H475" s="15"/>
    </row>
    <row r="476" spans="1:8">
      <c r="A476" s="11"/>
      <c r="B476" s="2"/>
      <c r="C476" s="2"/>
      <c r="D476" s="2"/>
      <c r="E476" s="15"/>
      <c r="F476" s="2"/>
      <c r="G476" s="15"/>
      <c r="H476" s="15"/>
    </row>
    <row r="477" spans="1:8">
      <c r="A477" s="11"/>
      <c r="B477" s="2"/>
      <c r="C477" s="2"/>
      <c r="D477" s="2"/>
      <c r="E477" s="15"/>
      <c r="F477" s="2"/>
      <c r="G477" s="15"/>
      <c r="H477" s="15"/>
    </row>
    <row r="478" spans="1:8">
      <c r="A478" s="11"/>
      <c r="B478" s="2"/>
      <c r="C478" s="2"/>
      <c r="D478" s="2"/>
      <c r="E478" s="15"/>
      <c r="F478" s="2"/>
      <c r="G478" s="15"/>
      <c r="H478" s="15"/>
    </row>
    <row r="479" spans="1:8">
      <c r="A479" s="11"/>
      <c r="B479" s="2"/>
      <c r="C479" s="2"/>
      <c r="D479" s="2"/>
      <c r="E479" s="15"/>
      <c r="F479" s="2"/>
      <c r="G479" s="15"/>
      <c r="H479" s="15"/>
    </row>
    <row r="480" spans="1:8">
      <c r="A480" s="11"/>
      <c r="B480" s="2"/>
      <c r="C480" s="2"/>
      <c r="D480" s="2"/>
      <c r="E480" s="15"/>
      <c r="F480" s="2"/>
      <c r="G480" s="15"/>
      <c r="H480" s="15"/>
    </row>
    <row r="481" spans="1:8">
      <c r="A481" s="11"/>
      <c r="B481" s="2"/>
      <c r="C481" s="2"/>
      <c r="D481" s="2"/>
      <c r="E481" s="15"/>
      <c r="F481" s="2"/>
      <c r="G481" s="15"/>
      <c r="H481" s="15"/>
    </row>
    <row r="482" spans="1:8">
      <c r="A482" s="11"/>
      <c r="B482" s="2"/>
      <c r="C482" s="2"/>
      <c r="D482" s="2"/>
      <c r="E482" s="15"/>
      <c r="F482" s="2"/>
      <c r="G482" s="15"/>
      <c r="H482" s="15"/>
    </row>
    <row r="483" spans="1:8">
      <c r="A483" s="11"/>
      <c r="B483" s="2"/>
      <c r="C483" s="2"/>
      <c r="D483" s="2"/>
      <c r="E483" s="15"/>
      <c r="F483" s="2"/>
      <c r="G483" s="15"/>
      <c r="H483" s="15"/>
    </row>
    <row r="484" spans="1:8">
      <c r="A484" s="11"/>
      <c r="B484" s="2"/>
      <c r="C484" s="2"/>
      <c r="D484" s="2"/>
      <c r="E484" s="15"/>
      <c r="F484" s="2"/>
      <c r="G484" s="15"/>
      <c r="H484" s="15"/>
    </row>
    <row r="485" spans="1:8">
      <c r="A485" s="11"/>
      <c r="B485" s="2"/>
      <c r="C485" s="2"/>
      <c r="D485" s="2"/>
      <c r="E485" s="15"/>
      <c r="F485" s="2"/>
      <c r="G485" s="15"/>
      <c r="H485" s="15"/>
    </row>
    <row r="486" spans="1:8">
      <c r="A486" s="11"/>
      <c r="B486" s="2"/>
      <c r="C486" s="2"/>
      <c r="D486" s="2"/>
      <c r="E486" s="15"/>
      <c r="F486" s="2"/>
      <c r="G486" s="15"/>
      <c r="H486" s="15"/>
    </row>
    <row r="487" spans="1:8">
      <c r="A487" s="11"/>
      <c r="B487" s="2"/>
      <c r="C487" s="2"/>
      <c r="D487" s="2"/>
      <c r="E487" s="15"/>
      <c r="F487" s="2"/>
      <c r="G487" s="15"/>
      <c r="H487" s="15"/>
    </row>
    <row r="488" spans="1:8">
      <c r="A488" s="11"/>
      <c r="B488" s="2"/>
      <c r="C488" s="2"/>
      <c r="D488" s="2"/>
      <c r="E488" s="15"/>
      <c r="F488" s="2"/>
      <c r="G488" s="15"/>
      <c r="H488" s="15"/>
    </row>
    <row r="489" spans="1:8">
      <c r="A489" s="11"/>
      <c r="B489" s="2"/>
      <c r="C489" s="2"/>
      <c r="D489" s="2"/>
      <c r="E489" s="15"/>
      <c r="F489" s="2"/>
      <c r="G489" s="15"/>
      <c r="H489" s="15"/>
    </row>
    <row r="490" spans="1:8">
      <c r="A490" s="11"/>
      <c r="B490" s="2"/>
      <c r="C490" s="2"/>
      <c r="D490" s="2"/>
      <c r="E490" s="15"/>
      <c r="F490" s="2"/>
      <c r="G490" s="15"/>
      <c r="H490" s="15"/>
    </row>
    <row r="491" spans="1:8">
      <c r="A491" s="11"/>
      <c r="B491" s="2"/>
      <c r="C491" s="2"/>
      <c r="D491" s="2"/>
      <c r="E491" s="15"/>
      <c r="F491" s="2"/>
      <c r="G491" s="15"/>
      <c r="H491" s="15"/>
    </row>
    <row r="492" spans="1:8">
      <c r="A492" s="11"/>
      <c r="B492" s="2"/>
      <c r="C492" s="2"/>
      <c r="D492" s="2"/>
      <c r="E492" s="15"/>
      <c r="F492" s="2"/>
      <c r="G492" s="15"/>
      <c r="H492" s="15"/>
    </row>
    <row r="493" spans="1:8">
      <c r="A493" s="11"/>
      <c r="B493" s="2"/>
      <c r="C493" s="2"/>
      <c r="D493" s="2"/>
      <c r="E493" s="15"/>
      <c r="F493" s="2"/>
      <c r="G493" s="15"/>
      <c r="H493" s="15"/>
    </row>
    <row r="494" spans="1:8">
      <c r="A494" s="11"/>
      <c r="B494" s="2"/>
      <c r="C494" s="2"/>
      <c r="D494" s="2"/>
      <c r="E494" s="15"/>
      <c r="F494" s="2"/>
      <c r="G494" s="15"/>
      <c r="H494" s="15"/>
    </row>
    <row r="495" spans="1:8">
      <c r="A495" s="11"/>
      <c r="B495" s="2"/>
      <c r="C495" s="2"/>
      <c r="D495" s="2"/>
      <c r="E495" s="15"/>
      <c r="F495" s="2"/>
      <c r="G495" s="15"/>
      <c r="H495" s="15"/>
    </row>
    <row r="496" spans="1:8">
      <c r="A496" s="11"/>
      <c r="B496" s="2"/>
      <c r="C496" s="2"/>
      <c r="D496" s="2"/>
      <c r="E496" s="15"/>
      <c r="F496" s="2"/>
      <c r="G496" s="15"/>
      <c r="H496" s="15"/>
    </row>
    <row r="497" spans="1:8">
      <c r="A497" s="11"/>
      <c r="B497" s="2"/>
      <c r="C497" s="2"/>
      <c r="D497" s="2"/>
      <c r="E497" s="15"/>
      <c r="F497" s="2"/>
      <c r="G497" s="15"/>
      <c r="H497" s="15"/>
    </row>
    <row r="498" spans="1:8">
      <c r="A498" s="11"/>
      <c r="B498" s="2"/>
      <c r="C498" s="2"/>
      <c r="D498" s="2"/>
      <c r="E498" s="15"/>
      <c r="F498" s="2"/>
      <c r="G498" s="15"/>
      <c r="H498" s="15"/>
    </row>
    <row r="499" spans="1:8">
      <c r="A499" s="11"/>
      <c r="B499" s="2"/>
      <c r="C499" s="2"/>
      <c r="D499" s="2"/>
      <c r="E499" s="15"/>
      <c r="F499" s="2"/>
      <c r="G499" s="15"/>
      <c r="H499" s="15"/>
    </row>
    <row r="500" spans="1:8">
      <c r="A500" s="11"/>
      <c r="B500" s="2"/>
      <c r="C500" s="2"/>
      <c r="D500" s="2"/>
      <c r="E500" s="15"/>
      <c r="F500" s="2"/>
      <c r="G500" s="15"/>
      <c r="H500" s="15"/>
    </row>
    <row r="501" spans="1:8">
      <c r="A501" s="11"/>
      <c r="B501" s="2"/>
      <c r="C501" s="2"/>
      <c r="D501" s="2"/>
      <c r="E501" s="15"/>
      <c r="F501" s="2"/>
      <c r="G501" s="15"/>
      <c r="H501" s="15"/>
    </row>
    <row r="502" spans="1:8">
      <c r="A502" s="11"/>
      <c r="B502" s="2"/>
      <c r="C502" s="2"/>
      <c r="D502" s="2"/>
      <c r="E502" s="15"/>
      <c r="F502" s="2"/>
      <c r="G502" s="15"/>
      <c r="H502" s="15"/>
    </row>
    <row r="503" spans="1:8">
      <c r="A503" s="11"/>
      <c r="B503" s="2"/>
      <c r="C503" s="2"/>
      <c r="D503" s="2"/>
      <c r="E503" s="15"/>
      <c r="F503" s="2"/>
      <c r="G503" s="15"/>
      <c r="H503" s="15"/>
    </row>
    <row r="504" spans="1:8">
      <c r="A504" s="11"/>
      <c r="B504" s="2"/>
      <c r="C504" s="2"/>
      <c r="D504" s="2"/>
      <c r="E504" s="15"/>
      <c r="F504" s="2"/>
      <c r="G504" s="15"/>
      <c r="H504" s="15"/>
    </row>
    <row r="505" spans="1:8">
      <c r="A505" s="11"/>
      <c r="B505" s="2"/>
      <c r="C505" s="2"/>
      <c r="D505" s="2"/>
      <c r="E505" s="15"/>
      <c r="F505" s="2"/>
      <c r="G505" s="15"/>
      <c r="H505" s="15"/>
    </row>
    <row r="506" spans="1:8">
      <c r="A506" s="11"/>
      <c r="B506" s="2"/>
      <c r="C506" s="2"/>
      <c r="D506" s="2"/>
      <c r="E506" s="15"/>
      <c r="F506" s="2"/>
      <c r="G506" s="15"/>
      <c r="H506" s="15"/>
    </row>
    <row r="507" spans="1:8">
      <c r="A507" s="11"/>
      <c r="B507" s="2"/>
      <c r="C507" s="2"/>
      <c r="D507" s="2"/>
      <c r="E507" s="15"/>
      <c r="F507" s="2"/>
      <c r="G507" s="15"/>
      <c r="H507" s="15"/>
    </row>
    <row r="508" spans="1:8">
      <c r="A508" s="11"/>
      <c r="B508" s="2"/>
      <c r="C508" s="2"/>
      <c r="D508" s="2"/>
      <c r="E508" s="15"/>
      <c r="F508" s="2"/>
      <c r="G508" s="15"/>
      <c r="H508" s="15"/>
    </row>
    <row r="509" spans="1:8">
      <c r="A509" s="11"/>
      <c r="B509" s="2"/>
      <c r="C509" s="2"/>
      <c r="D509" s="2"/>
      <c r="E509" s="15"/>
      <c r="F509" s="2"/>
      <c r="G509" s="15"/>
      <c r="H509" s="15"/>
    </row>
    <row r="510" spans="1:8">
      <c r="A510" s="11"/>
      <c r="B510" s="2"/>
      <c r="C510" s="2"/>
      <c r="D510" s="2"/>
      <c r="E510" s="15"/>
      <c r="F510" s="2"/>
      <c r="G510" s="15"/>
      <c r="H510" s="15"/>
    </row>
    <row r="511" spans="1:8">
      <c r="A511" s="11"/>
      <c r="B511" s="2"/>
      <c r="C511" s="2"/>
      <c r="D511" s="2"/>
      <c r="E511" s="15"/>
      <c r="F511" s="2"/>
      <c r="G511" s="15"/>
      <c r="H511" s="15"/>
    </row>
    <row r="512" spans="1:8">
      <c r="A512" s="11"/>
      <c r="B512" s="2"/>
      <c r="C512" s="2"/>
      <c r="D512" s="2"/>
      <c r="E512" s="15"/>
      <c r="F512" s="2"/>
      <c r="G512" s="15"/>
      <c r="H512" s="15"/>
    </row>
    <row r="513" spans="1:8">
      <c r="A513" s="11"/>
      <c r="B513" s="2"/>
      <c r="C513" s="2"/>
      <c r="D513" s="2"/>
      <c r="E513" s="15"/>
      <c r="F513" s="2"/>
      <c r="G513" s="15"/>
      <c r="H513" s="15"/>
    </row>
    <row r="514" spans="1:8">
      <c r="A514" s="11"/>
      <c r="B514" s="2"/>
      <c r="C514" s="2"/>
      <c r="D514" s="2"/>
      <c r="E514" s="15"/>
      <c r="F514" s="2"/>
      <c r="G514" s="15"/>
      <c r="H514" s="15"/>
    </row>
    <row r="515" spans="1:8">
      <c r="A515" s="11"/>
      <c r="B515" s="2"/>
      <c r="C515" s="2"/>
      <c r="D515" s="2"/>
      <c r="E515" s="15"/>
      <c r="F515" s="2"/>
      <c r="G515" s="15"/>
      <c r="H515" s="15"/>
    </row>
    <row r="516" spans="1:8">
      <c r="A516" s="11"/>
      <c r="B516" s="2"/>
      <c r="C516" s="2"/>
      <c r="D516" s="2"/>
      <c r="E516" s="15"/>
      <c r="F516" s="2"/>
      <c r="G516" s="15"/>
      <c r="H516" s="15"/>
    </row>
    <row r="517" spans="1:8">
      <c r="A517" s="11"/>
      <c r="B517" s="2"/>
      <c r="C517" s="2"/>
      <c r="D517" s="2"/>
      <c r="E517" s="15"/>
      <c r="F517" s="2"/>
      <c r="G517" s="15"/>
      <c r="H517" s="15"/>
    </row>
    <row r="518" spans="1:8">
      <c r="A518" s="11"/>
      <c r="B518" s="2"/>
      <c r="C518" s="2"/>
      <c r="D518" s="2"/>
      <c r="E518" s="15"/>
      <c r="F518" s="2"/>
      <c r="G518" s="15"/>
      <c r="H518" s="15"/>
    </row>
    <row r="519" spans="1:8">
      <c r="A519" s="11"/>
      <c r="B519" s="2"/>
      <c r="C519" s="2"/>
      <c r="D519" s="2"/>
      <c r="E519" s="15"/>
      <c r="F519" s="2"/>
      <c r="G519" s="15"/>
      <c r="H519" s="15"/>
    </row>
    <row r="520" spans="1:8">
      <c r="A520" s="11"/>
      <c r="B520" s="2"/>
      <c r="C520" s="2"/>
      <c r="D520" s="2"/>
      <c r="E520" s="15"/>
      <c r="F520" s="2"/>
      <c r="G520" s="15"/>
      <c r="H520" s="15"/>
    </row>
    <row r="521" spans="1:8">
      <c r="A521" s="11"/>
      <c r="B521" s="2"/>
      <c r="C521" s="2"/>
      <c r="D521" s="2"/>
      <c r="E521" s="15"/>
      <c r="F521" s="2"/>
      <c r="G521" s="15"/>
      <c r="H521" s="15"/>
    </row>
    <row r="522" spans="1:8">
      <c r="A522" s="11"/>
      <c r="B522" s="2"/>
      <c r="C522" s="2"/>
      <c r="D522" s="2"/>
      <c r="E522" s="15"/>
      <c r="F522" s="2"/>
      <c r="G522" s="15"/>
      <c r="H522" s="15"/>
    </row>
    <row r="523" spans="1:8">
      <c r="A523" s="11"/>
      <c r="B523" s="2"/>
      <c r="C523" s="2"/>
      <c r="D523" s="2"/>
      <c r="E523" s="15"/>
      <c r="F523" s="2"/>
      <c r="G523" s="15"/>
      <c r="H523" s="15"/>
    </row>
    <row r="524" spans="1:8">
      <c r="A524" s="11"/>
      <c r="B524" s="2"/>
      <c r="C524" s="2"/>
      <c r="D524" s="2"/>
      <c r="E524" s="15"/>
      <c r="F524" s="2"/>
      <c r="G524" s="15"/>
      <c r="H524" s="15"/>
    </row>
    <row r="525" spans="1:8">
      <c r="A525" s="11"/>
      <c r="B525" s="2"/>
      <c r="C525" s="2"/>
      <c r="D525" s="2"/>
      <c r="E525" s="15"/>
      <c r="F525" s="2"/>
      <c r="G525" s="15"/>
      <c r="H525" s="15"/>
    </row>
    <row r="526" spans="1:8">
      <c r="A526" s="11"/>
      <c r="B526" s="2"/>
      <c r="C526" s="2"/>
      <c r="D526" s="2"/>
      <c r="E526" s="15"/>
      <c r="F526" s="2"/>
      <c r="G526" s="15"/>
      <c r="H526" s="15"/>
    </row>
    <row r="527" spans="1:8">
      <c r="A527" s="11"/>
      <c r="B527" s="2"/>
      <c r="C527" s="2"/>
      <c r="D527" s="2"/>
      <c r="E527" s="15"/>
      <c r="F527" s="2"/>
      <c r="G527" s="15"/>
      <c r="H527" s="15"/>
    </row>
    <row r="528" spans="1:8">
      <c r="A528" s="11"/>
      <c r="B528" s="2"/>
      <c r="C528" s="2"/>
      <c r="D528" s="2"/>
      <c r="E528" s="15"/>
      <c r="F528" s="2"/>
      <c r="G528" s="15"/>
      <c r="H528" s="15"/>
    </row>
    <row r="529" spans="1:8">
      <c r="A529" s="11"/>
      <c r="B529" s="2"/>
      <c r="C529" s="2"/>
      <c r="D529" s="2"/>
      <c r="E529" s="15"/>
      <c r="F529" s="2"/>
      <c r="G529" s="15"/>
      <c r="H529" s="15"/>
    </row>
    <row r="530" spans="1:8">
      <c r="A530" s="11"/>
      <c r="B530" s="2"/>
      <c r="C530" s="2"/>
      <c r="D530" s="2"/>
      <c r="E530" s="15"/>
      <c r="F530" s="2"/>
      <c r="G530" s="15"/>
      <c r="H530" s="15"/>
    </row>
    <row r="531" spans="1:8">
      <c r="A531" s="11"/>
      <c r="B531" s="2"/>
      <c r="C531" s="2"/>
      <c r="D531" s="2"/>
      <c r="E531" s="15"/>
      <c r="F531" s="2"/>
      <c r="G531" s="15"/>
      <c r="H531" s="15"/>
    </row>
    <row r="532" spans="1:8">
      <c r="A532" s="11"/>
      <c r="B532" s="2"/>
      <c r="C532" s="2"/>
      <c r="D532" s="2"/>
      <c r="E532" s="15"/>
      <c r="F532" s="2"/>
      <c r="G532" s="15"/>
      <c r="H532" s="15"/>
    </row>
    <row r="533" spans="1:8">
      <c r="A533" s="11"/>
      <c r="B533" s="2"/>
      <c r="C533" s="2"/>
      <c r="D533" s="2"/>
      <c r="E533" s="15"/>
      <c r="F533" s="2"/>
      <c r="G533" s="15"/>
      <c r="H533" s="15"/>
    </row>
    <row r="534" spans="1:8">
      <c r="A534" s="11"/>
      <c r="B534" s="2"/>
      <c r="C534" s="2"/>
      <c r="D534" s="2"/>
      <c r="E534" s="15"/>
      <c r="F534" s="2"/>
      <c r="G534" s="15"/>
      <c r="H534" s="15"/>
    </row>
    <row r="535" spans="1:8">
      <c r="A535" s="11"/>
      <c r="B535" s="2"/>
      <c r="C535" s="2"/>
      <c r="D535" s="2"/>
      <c r="E535" s="15"/>
      <c r="F535" s="2"/>
      <c r="G535" s="15"/>
      <c r="H535" s="15"/>
    </row>
    <row r="536" spans="1:8">
      <c r="A536" s="11"/>
      <c r="B536" s="2"/>
      <c r="C536" s="2"/>
      <c r="D536" s="2"/>
      <c r="E536" s="15"/>
      <c r="F536" s="2"/>
      <c r="G536" s="15"/>
      <c r="H536" s="15"/>
    </row>
    <row r="537" spans="1:8">
      <c r="A537" s="11"/>
      <c r="B537" s="2"/>
      <c r="C537" s="2"/>
      <c r="D537" s="2"/>
      <c r="E537" s="15"/>
      <c r="F537" s="2"/>
      <c r="G537" s="15"/>
      <c r="H537" s="15"/>
    </row>
    <row r="538" spans="1:8">
      <c r="A538" s="11"/>
      <c r="B538" s="2"/>
      <c r="C538" s="2"/>
      <c r="D538" s="2"/>
      <c r="E538" s="15"/>
      <c r="F538" s="2"/>
      <c r="G538" s="15"/>
      <c r="H538" s="15"/>
    </row>
    <row r="539" spans="1:8">
      <c r="A539" s="11"/>
      <c r="B539" s="2"/>
      <c r="C539" s="2"/>
      <c r="D539" s="2"/>
      <c r="E539" s="15"/>
      <c r="F539" s="2"/>
      <c r="G539" s="15"/>
      <c r="H539" s="15"/>
    </row>
    <row r="540" spans="1:8">
      <c r="A540" s="11"/>
      <c r="B540" s="2"/>
      <c r="C540" s="2"/>
      <c r="D540" s="2"/>
      <c r="E540" s="15"/>
      <c r="F540" s="2"/>
      <c r="G540" s="15"/>
      <c r="H540" s="15"/>
    </row>
    <row r="541" spans="1:8">
      <c r="A541" s="11"/>
      <c r="B541" s="2"/>
      <c r="C541" s="2"/>
      <c r="D541" s="2"/>
      <c r="E541" s="15"/>
      <c r="F541" s="2"/>
      <c r="G541" s="15"/>
      <c r="H541" s="15"/>
    </row>
    <row r="542" spans="1:8">
      <c r="A542" s="11"/>
      <c r="B542" s="2"/>
      <c r="C542" s="2"/>
      <c r="D542" s="2"/>
      <c r="E542" s="15"/>
      <c r="F542" s="2"/>
      <c r="G542" s="15"/>
      <c r="H542" s="15"/>
    </row>
    <row r="543" spans="1:8">
      <c r="A543" s="11"/>
      <c r="B543" s="2"/>
      <c r="C543" s="2"/>
      <c r="D543" s="2"/>
      <c r="E543" s="15"/>
      <c r="F543" s="2"/>
      <c r="G543" s="15"/>
      <c r="H543" s="15"/>
    </row>
    <row r="544" spans="1:8">
      <c r="A544" s="11"/>
      <c r="B544" s="2"/>
      <c r="C544" s="2"/>
      <c r="D544" s="2"/>
      <c r="E544" s="15"/>
      <c r="F544" s="2"/>
      <c r="G544" s="15"/>
      <c r="H544" s="15"/>
    </row>
    <row r="545" spans="1:8">
      <c r="A545" s="11"/>
      <c r="B545" s="2"/>
      <c r="C545" s="2"/>
      <c r="D545" s="2"/>
      <c r="E545" s="15"/>
      <c r="F545" s="2"/>
      <c r="G545" s="15"/>
      <c r="H545" s="15"/>
    </row>
    <row r="546" spans="1:8">
      <c r="A546" s="11"/>
      <c r="B546" s="2"/>
      <c r="C546" s="2"/>
      <c r="D546" s="2"/>
      <c r="E546" s="15"/>
      <c r="F546" s="2"/>
      <c r="G546" s="15"/>
      <c r="H546" s="15"/>
    </row>
    <row r="547" spans="1:8">
      <c r="A547" s="11"/>
      <c r="B547" s="2"/>
      <c r="C547" s="2"/>
      <c r="D547" s="2"/>
      <c r="E547" s="15"/>
      <c r="F547" s="2"/>
      <c r="G547" s="15"/>
      <c r="H547" s="15"/>
    </row>
    <row r="548" spans="1:8">
      <c r="A548" s="11"/>
      <c r="B548" s="2"/>
      <c r="C548" s="2"/>
      <c r="D548" s="2"/>
      <c r="E548" s="15"/>
      <c r="F548" s="2"/>
      <c r="G548" s="15"/>
      <c r="H548" s="15"/>
    </row>
    <row r="549" spans="1:8">
      <c r="A549" s="11"/>
      <c r="B549" s="2"/>
      <c r="C549" s="2"/>
      <c r="D549" s="2"/>
      <c r="E549" s="15"/>
      <c r="F549" s="2"/>
      <c r="G549" s="15"/>
      <c r="H549" s="15"/>
    </row>
    <row r="550" spans="1:8">
      <c r="A550" s="11"/>
      <c r="B550" s="2"/>
      <c r="C550" s="2"/>
      <c r="D550" s="2"/>
      <c r="E550" s="15"/>
      <c r="F550" s="2"/>
      <c r="G550" s="15"/>
      <c r="H550" s="15"/>
    </row>
    <row r="551" spans="1:8">
      <c r="A551" s="11"/>
      <c r="B551" s="2"/>
      <c r="C551" s="2"/>
      <c r="D551" s="2"/>
      <c r="E551" s="15"/>
      <c r="F551" s="2"/>
      <c r="G551" s="15"/>
      <c r="H551" s="15"/>
    </row>
    <row r="552" spans="1:8">
      <c r="A552" s="11"/>
      <c r="B552" s="2"/>
      <c r="C552" s="2"/>
      <c r="D552" s="2"/>
      <c r="E552" s="15"/>
      <c r="F552" s="2"/>
      <c r="G552" s="15"/>
      <c r="H552" s="15"/>
    </row>
    <row r="553" spans="1:8">
      <c r="A553" s="11"/>
      <c r="B553" s="2"/>
      <c r="C553" s="2"/>
      <c r="D553" s="2"/>
      <c r="E553" s="15"/>
      <c r="F553" s="2"/>
      <c r="G553" s="15"/>
      <c r="H553" s="15"/>
    </row>
    <row r="554" spans="1:8">
      <c r="A554" s="11"/>
      <c r="B554" s="2"/>
      <c r="C554" s="2"/>
      <c r="D554" s="2"/>
      <c r="E554" s="15"/>
      <c r="F554" s="2"/>
      <c r="G554" s="15"/>
      <c r="H554" s="15"/>
    </row>
    <row r="555" spans="1:8">
      <c r="A555" s="11"/>
      <c r="B555" s="2"/>
      <c r="C555" s="2"/>
      <c r="D555" s="2"/>
      <c r="E555" s="15"/>
      <c r="F555" s="2"/>
      <c r="G555" s="15"/>
      <c r="H555" s="15"/>
    </row>
    <row r="556" spans="1:8">
      <c r="A556" s="11"/>
      <c r="B556" s="2"/>
      <c r="C556" s="2"/>
      <c r="D556" s="2"/>
      <c r="E556" s="15"/>
      <c r="F556" s="2"/>
      <c r="G556" s="15"/>
      <c r="H556" s="15"/>
    </row>
    <row r="557" spans="1:8">
      <c r="A557" s="11"/>
      <c r="B557" s="2"/>
      <c r="C557" s="2"/>
      <c r="D557" s="2"/>
      <c r="E557" s="15"/>
      <c r="F557" s="2"/>
      <c r="G557" s="15"/>
      <c r="H557" s="15"/>
    </row>
    <row r="558" spans="1:8">
      <c r="A558" s="11"/>
      <c r="B558" s="2"/>
      <c r="C558" s="2"/>
      <c r="D558" s="2"/>
      <c r="E558" s="15"/>
      <c r="F558" s="2"/>
      <c r="G558" s="15"/>
      <c r="H558" s="15"/>
    </row>
    <row r="559" spans="1:8">
      <c r="A559" s="11"/>
      <c r="B559" s="2"/>
      <c r="C559" s="2"/>
      <c r="D559" s="2"/>
      <c r="E559" s="15"/>
      <c r="F559" s="2"/>
      <c r="G559" s="15"/>
      <c r="H559" s="15"/>
    </row>
    <row r="560" spans="1:8">
      <c r="A560" s="11"/>
      <c r="B560" s="2"/>
      <c r="C560" s="2"/>
      <c r="D560" s="2"/>
      <c r="E560" s="15"/>
      <c r="F560" s="2"/>
      <c r="G560" s="15"/>
      <c r="H560" s="15"/>
    </row>
    <row r="561" spans="1:8">
      <c r="A561" s="11"/>
      <c r="B561" s="2"/>
      <c r="C561" s="2"/>
      <c r="D561" s="2"/>
      <c r="E561" s="15"/>
      <c r="F561" s="2"/>
      <c r="G561" s="15"/>
      <c r="H561" s="15"/>
    </row>
    <row r="562" spans="1:8">
      <c r="A562" s="11"/>
      <c r="B562" s="2"/>
      <c r="C562" s="2"/>
      <c r="D562" s="2"/>
      <c r="E562" s="15"/>
      <c r="F562" s="2"/>
      <c r="G562" s="15"/>
      <c r="H562" s="15"/>
    </row>
    <row r="563" spans="1:8">
      <c r="A563" s="11"/>
      <c r="B563" s="2"/>
      <c r="C563" s="2"/>
      <c r="D563" s="2"/>
      <c r="E563" s="15"/>
      <c r="F563" s="2"/>
      <c r="G563" s="15"/>
      <c r="H563" s="15"/>
    </row>
    <row r="564" spans="1:8">
      <c r="A564" s="11"/>
      <c r="B564" s="2"/>
      <c r="C564" s="2"/>
      <c r="D564" s="2"/>
      <c r="E564" s="15"/>
      <c r="F564" s="2"/>
      <c r="G564" s="15"/>
      <c r="H564" s="15"/>
    </row>
    <row r="565" spans="1:8">
      <c r="A565" s="11"/>
      <c r="B565" s="2"/>
      <c r="C565" s="2"/>
      <c r="D565" s="2"/>
      <c r="E565" s="15"/>
      <c r="F565" s="2"/>
      <c r="G565" s="15"/>
      <c r="H565" s="15"/>
    </row>
    <row r="566" spans="1:8">
      <c r="A566" s="11"/>
      <c r="B566" s="2"/>
      <c r="C566" s="2"/>
      <c r="D566" s="2"/>
      <c r="E566" s="15"/>
      <c r="F566" s="2"/>
      <c r="G566" s="15"/>
      <c r="H566" s="15"/>
    </row>
    <row r="567" spans="1:8">
      <c r="A567" s="11"/>
      <c r="B567" s="2"/>
      <c r="C567" s="2"/>
      <c r="D567" s="2"/>
      <c r="E567" s="15"/>
      <c r="F567" s="2"/>
      <c r="G567" s="15"/>
      <c r="H567" s="15"/>
    </row>
    <row r="568" spans="1:8">
      <c r="A568" s="11"/>
      <c r="B568" s="2"/>
      <c r="C568" s="2"/>
      <c r="D568" s="2"/>
      <c r="E568" s="15"/>
      <c r="F568" s="2"/>
      <c r="G568" s="15"/>
      <c r="H568" s="15"/>
    </row>
    <row r="569" spans="1:8">
      <c r="A569" s="11"/>
      <c r="B569" s="2"/>
      <c r="C569" s="2"/>
      <c r="D569" s="2"/>
      <c r="E569" s="15"/>
      <c r="F569" s="2"/>
      <c r="G569" s="15"/>
      <c r="H569" s="15"/>
    </row>
    <row r="570" spans="1:8">
      <c r="A570" s="11"/>
      <c r="B570" s="2"/>
      <c r="C570" s="2"/>
      <c r="D570" s="2"/>
      <c r="E570" s="15"/>
      <c r="F570" s="2"/>
      <c r="G570" s="15"/>
      <c r="H570" s="15"/>
    </row>
    <row r="571" spans="1:8">
      <c r="A571" s="11"/>
      <c r="B571" s="2"/>
      <c r="C571" s="2"/>
      <c r="D571" s="2"/>
      <c r="E571" s="15"/>
      <c r="F571" s="2"/>
      <c r="G571" s="15"/>
      <c r="H571" s="15"/>
    </row>
    <row r="572" spans="1:8">
      <c r="A572" s="11"/>
      <c r="B572" s="2"/>
      <c r="C572" s="2"/>
      <c r="D572" s="2"/>
      <c r="E572" s="15"/>
      <c r="F572" s="2"/>
      <c r="G572" s="15"/>
      <c r="H572" s="15"/>
    </row>
    <row r="573" spans="1:8">
      <c r="A573" s="11"/>
      <c r="B573" s="2"/>
      <c r="C573" s="2"/>
      <c r="D573" s="2"/>
      <c r="E573" s="15"/>
      <c r="F573" s="2"/>
      <c r="G573" s="15"/>
      <c r="H573" s="15"/>
    </row>
    <row r="574" spans="1:8">
      <c r="A574" s="11"/>
      <c r="B574" s="2"/>
      <c r="C574" s="2"/>
      <c r="D574" s="2"/>
      <c r="E574" s="15"/>
      <c r="F574" s="2"/>
      <c r="G574" s="15"/>
      <c r="H574" s="15"/>
    </row>
    <row r="575" spans="1:8">
      <c r="A575" s="11"/>
      <c r="B575" s="2"/>
      <c r="C575" s="2"/>
      <c r="D575" s="2"/>
      <c r="E575" s="15"/>
      <c r="F575" s="2"/>
      <c r="G575" s="15"/>
      <c r="H575" s="15"/>
    </row>
    <row r="576" spans="1:8">
      <c r="A576" s="11"/>
      <c r="B576" s="2"/>
      <c r="C576" s="2"/>
      <c r="D576" s="2"/>
      <c r="E576" s="15"/>
      <c r="F576" s="2"/>
      <c r="G576" s="15"/>
      <c r="H576" s="15"/>
    </row>
    <row r="577" spans="1:8">
      <c r="A577" s="11"/>
      <c r="B577" s="2"/>
      <c r="C577" s="2"/>
      <c r="D577" s="2"/>
      <c r="E577" s="15"/>
      <c r="F577" s="2"/>
      <c r="G577" s="15"/>
      <c r="H577" s="15"/>
    </row>
    <row r="578" spans="1:8">
      <c r="A578" s="11"/>
      <c r="B578" s="2"/>
      <c r="C578" s="2"/>
      <c r="D578" s="2"/>
      <c r="E578" s="15"/>
      <c r="F578" s="2"/>
      <c r="G578" s="15"/>
      <c r="H578" s="15"/>
    </row>
    <row r="579" spans="1:8">
      <c r="A579" s="11"/>
      <c r="B579" s="2"/>
      <c r="C579" s="2"/>
      <c r="D579" s="2"/>
      <c r="E579" s="15"/>
      <c r="F579" s="2"/>
      <c r="G579" s="15"/>
      <c r="H579" s="15"/>
    </row>
    <row r="580" spans="1:8">
      <c r="A580" s="11"/>
      <c r="B580" s="2"/>
      <c r="C580" s="2"/>
      <c r="D580" s="2"/>
      <c r="E580" s="15"/>
      <c r="F580" s="2"/>
      <c r="G580" s="15"/>
      <c r="H580" s="15"/>
    </row>
    <row r="581" spans="1:8">
      <c r="A581" s="11"/>
      <c r="B581" s="2"/>
      <c r="C581" s="2"/>
      <c r="D581" s="2"/>
      <c r="E581" s="15"/>
      <c r="F581" s="2"/>
      <c r="G581" s="15"/>
      <c r="H581" s="15"/>
    </row>
    <row r="582" spans="1:8">
      <c r="A582" s="11"/>
      <c r="B582" s="2"/>
      <c r="C582" s="2"/>
      <c r="D582" s="2"/>
      <c r="E582" s="15"/>
      <c r="F582" s="2"/>
      <c r="G582" s="15"/>
      <c r="H582" s="15"/>
    </row>
    <row r="583" spans="1:8">
      <c r="A583" s="11"/>
      <c r="B583" s="2"/>
      <c r="C583" s="2"/>
      <c r="D583" s="2"/>
      <c r="E583" s="15"/>
      <c r="F583" s="2"/>
      <c r="G583" s="15"/>
      <c r="H583" s="15"/>
    </row>
    <row r="584" spans="1:8">
      <c r="A584" s="11"/>
      <c r="B584" s="2"/>
      <c r="C584" s="2"/>
      <c r="D584" s="2"/>
      <c r="E584" s="15"/>
      <c r="F584" s="2"/>
      <c r="G584" s="15"/>
      <c r="H584" s="15"/>
    </row>
    <row r="585" spans="1:8">
      <c r="A585" s="11"/>
      <c r="B585" s="2"/>
      <c r="C585" s="2"/>
      <c r="D585" s="2"/>
      <c r="E585" s="15"/>
      <c r="F585" s="2"/>
      <c r="G585" s="15"/>
      <c r="H585" s="15"/>
    </row>
    <row r="586" spans="1:8">
      <c r="A586" s="11"/>
      <c r="B586" s="2"/>
      <c r="C586" s="2"/>
      <c r="D586" s="2"/>
      <c r="E586" s="15"/>
      <c r="F586" s="2"/>
      <c r="G586" s="15"/>
      <c r="H586" s="15"/>
    </row>
    <row r="587" spans="1:8">
      <c r="A587" s="11"/>
      <c r="B587" s="2"/>
      <c r="C587" s="2"/>
      <c r="D587" s="2"/>
      <c r="E587" s="15"/>
      <c r="F587" s="2"/>
      <c r="G587" s="15"/>
      <c r="H587" s="15"/>
    </row>
    <row r="588" spans="1:8">
      <c r="A588" s="11"/>
      <c r="B588" s="2"/>
      <c r="C588" s="2"/>
      <c r="D588" s="2"/>
      <c r="E588" s="15"/>
      <c r="F588" s="2"/>
      <c r="G588" s="15"/>
      <c r="H588" s="15"/>
    </row>
    <row r="589" spans="1:8">
      <c r="A589" s="11"/>
      <c r="B589" s="2"/>
      <c r="C589" s="2"/>
      <c r="D589" s="2"/>
      <c r="E589" s="15"/>
      <c r="F589" s="2"/>
      <c r="G589" s="15"/>
      <c r="H589" s="15"/>
    </row>
    <row r="590" spans="1:8">
      <c r="A590" s="11"/>
      <c r="B590" s="2"/>
      <c r="C590" s="2"/>
      <c r="D590" s="2"/>
      <c r="E590" s="15"/>
      <c r="F590" s="2"/>
      <c r="G590" s="15"/>
      <c r="H590" s="15"/>
    </row>
    <row r="591" spans="1:8">
      <c r="A591" s="11"/>
      <c r="B591" s="2"/>
      <c r="C591" s="2"/>
      <c r="D591" s="2"/>
      <c r="E591" s="15"/>
      <c r="F591" s="2"/>
      <c r="G591" s="15"/>
      <c r="H591" s="15"/>
    </row>
    <row r="592" spans="1:8">
      <c r="A592" s="11"/>
      <c r="B592" s="2"/>
      <c r="C592" s="2"/>
      <c r="D592" s="2"/>
      <c r="E592" s="15"/>
      <c r="F592" s="2"/>
      <c r="G592" s="15"/>
      <c r="H592" s="15"/>
    </row>
    <row r="593" spans="1:8">
      <c r="A593" s="11"/>
      <c r="B593" s="2"/>
      <c r="C593" s="2"/>
      <c r="D593" s="2"/>
      <c r="E593" s="15"/>
      <c r="F593" s="2"/>
      <c r="G593" s="15"/>
      <c r="H593" s="15"/>
    </row>
    <row r="594" spans="1:8">
      <c r="A594" s="11"/>
      <c r="B594" s="2"/>
      <c r="C594" s="2"/>
      <c r="D594" s="2"/>
      <c r="E594" s="15"/>
      <c r="F594" s="2"/>
      <c r="G594" s="15"/>
      <c r="H594" s="15"/>
    </row>
    <row r="595" spans="1:8">
      <c r="A595" s="11"/>
      <c r="B595" s="2"/>
      <c r="C595" s="2"/>
      <c r="D595" s="2"/>
      <c r="E595" s="15"/>
      <c r="F595" s="2"/>
      <c r="G595" s="15"/>
      <c r="H595" s="15"/>
    </row>
    <row r="596" spans="1:8">
      <c r="A596" s="11"/>
      <c r="B596" s="2"/>
      <c r="C596" s="2"/>
      <c r="D596" s="2"/>
      <c r="E596" s="15"/>
      <c r="F596" s="2"/>
      <c r="G596" s="15"/>
      <c r="H596" s="15"/>
    </row>
    <row r="597" spans="1:8">
      <c r="A597" s="11"/>
      <c r="B597" s="2"/>
      <c r="C597" s="2"/>
      <c r="D597" s="2"/>
      <c r="E597" s="15"/>
      <c r="F597" s="2"/>
      <c r="G597" s="15"/>
      <c r="H597" s="15"/>
    </row>
    <row r="598" spans="1:8">
      <c r="A598" s="11"/>
      <c r="B598" s="2"/>
      <c r="C598" s="2"/>
      <c r="D598" s="2"/>
      <c r="E598" s="15"/>
      <c r="F598" s="2"/>
      <c r="G598" s="15"/>
      <c r="H598" s="15"/>
    </row>
    <row r="599" spans="1:8">
      <c r="A599" s="11"/>
      <c r="B599" s="2"/>
      <c r="C599" s="2"/>
      <c r="D599" s="2"/>
      <c r="E599" s="15"/>
      <c r="F599" s="2"/>
      <c r="G599" s="15"/>
      <c r="H599" s="15"/>
    </row>
    <row r="600" spans="1:8">
      <c r="A600" s="11"/>
      <c r="B600" s="2"/>
      <c r="C600" s="2"/>
      <c r="D600" s="2"/>
      <c r="E600" s="15"/>
      <c r="F600" s="2"/>
      <c r="G600" s="15"/>
      <c r="H600" s="15"/>
    </row>
    <row r="601" spans="1:8">
      <c r="A601" s="11"/>
      <c r="B601" s="2"/>
      <c r="C601" s="2"/>
      <c r="D601" s="2"/>
      <c r="E601" s="15"/>
      <c r="F601" s="2"/>
      <c r="G601" s="15"/>
      <c r="H601" s="15"/>
    </row>
    <row r="602" spans="1:8">
      <c r="A602" s="11"/>
      <c r="B602" s="2"/>
      <c r="C602" s="2"/>
      <c r="D602" s="2"/>
      <c r="E602" s="15"/>
      <c r="F602" s="2"/>
      <c r="G602" s="15"/>
      <c r="H602" s="15"/>
    </row>
    <row r="603" spans="1:8">
      <c r="A603" s="11"/>
      <c r="B603" s="2"/>
      <c r="C603" s="2"/>
      <c r="D603" s="2"/>
      <c r="E603" s="15"/>
      <c r="F603" s="2"/>
      <c r="G603" s="15"/>
      <c r="H603" s="15"/>
    </row>
    <row r="604" spans="1:8">
      <c r="A604" s="11"/>
      <c r="B604" s="2"/>
      <c r="C604" s="2"/>
      <c r="D604" s="2"/>
      <c r="E604" s="15"/>
      <c r="F604" s="2"/>
      <c r="G604" s="15"/>
      <c r="H604" s="15"/>
    </row>
    <row r="605" spans="1:8">
      <c r="A605" s="11"/>
      <c r="B605" s="2"/>
      <c r="C605" s="2"/>
      <c r="D605" s="2"/>
      <c r="E605" s="15"/>
      <c r="F605" s="2"/>
      <c r="G605" s="15"/>
      <c r="H605" s="15"/>
    </row>
    <row r="606" spans="1:8">
      <c r="A606" s="11"/>
      <c r="B606" s="2"/>
      <c r="C606" s="2"/>
      <c r="D606" s="2"/>
      <c r="E606" s="15"/>
      <c r="F606" s="2"/>
      <c r="G606" s="15"/>
      <c r="H606" s="15"/>
    </row>
    <row r="607" spans="1:8">
      <c r="A607" s="11"/>
      <c r="B607" s="2"/>
      <c r="C607" s="2"/>
      <c r="D607" s="2"/>
      <c r="E607" s="15"/>
      <c r="F607" s="2"/>
      <c r="G607" s="15"/>
      <c r="H607" s="15"/>
    </row>
    <row r="608" spans="1:8">
      <c r="A608" s="11"/>
      <c r="B608" s="2"/>
      <c r="C608" s="2"/>
      <c r="D608" s="2"/>
      <c r="E608" s="15"/>
      <c r="F608" s="2"/>
      <c r="G608" s="15"/>
      <c r="H608" s="15"/>
    </row>
    <row r="609" spans="1:8">
      <c r="A609" s="11"/>
      <c r="B609" s="2"/>
      <c r="C609" s="2"/>
      <c r="D609" s="2"/>
      <c r="E609" s="15"/>
      <c r="F609" s="2"/>
      <c r="G609" s="15"/>
      <c r="H609" s="15"/>
    </row>
    <row r="610" spans="1:8">
      <c r="A610" s="11"/>
      <c r="B610" s="2"/>
      <c r="C610" s="2"/>
      <c r="D610" s="2"/>
      <c r="E610" s="15"/>
      <c r="F610" s="2"/>
      <c r="G610" s="15"/>
      <c r="H610" s="15"/>
    </row>
    <row r="611" spans="1:8">
      <c r="A611" s="11"/>
      <c r="B611" s="2"/>
      <c r="C611" s="2"/>
      <c r="D611" s="2"/>
      <c r="E611" s="15"/>
      <c r="F611" s="2"/>
      <c r="G611" s="15"/>
      <c r="H611" s="15"/>
    </row>
    <row r="612" spans="1:8">
      <c r="A612" s="11"/>
      <c r="B612" s="2"/>
      <c r="C612" s="2"/>
      <c r="D612" s="2"/>
      <c r="E612" s="15"/>
      <c r="F612" s="2"/>
      <c r="G612" s="15"/>
      <c r="H612" s="15"/>
    </row>
    <row r="613" spans="1:8">
      <c r="A613" s="11"/>
      <c r="B613" s="2"/>
      <c r="C613" s="2"/>
      <c r="D613" s="2"/>
      <c r="E613" s="15"/>
      <c r="F613" s="2"/>
      <c r="G613" s="15"/>
      <c r="H613" s="15"/>
    </row>
    <row r="614" spans="1:8">
      <c r="A614" s="11"/>
      <c r="B614" s="2"/>
      <c r="C614" s="2"/>
      <c r="D614" s="2"/>
      <c r="E614" s="15"/>
      <c r="F614" s="2"/>
      <c r="G614" s="15"/>
      <c r="H614" s="15"/>
    </row>
    <row r="615" spans="1:8">
      <c r="A615" s="11"/>
      <c r="B615" s="2"/>
      <c r="C615" s="2"/>
      <c r="D615" s="2"/>
      <c r="E615" s="15"/>
      <c r="F615" s="2"/>
      <c r="G615" s="15"/>
      <c r="H615" s="15"/>
    </row>
    <row r="616" spans="1:8">
      <c r="A616" s="11"/>
      <c r="B616" s="2"/>
      <c r="C616" s="2"/>
      <c r="D616" s="2"/>
      <c r="E616" s="15"/>
      <c r="F616" s="2"/>
      <c r="G616" s="15"/>
      <c r="H616" s="15"/>
    </row>
    <row r="617" spans="1:8">
      <c r="A617" s="11"/>
      <c r="B617" s="2"/>
      <c r="C617" s="2"/>
      <c r="D617" s="2"/>
      <c r="E617" s="15"/>
      <c r="F617" s="2"/>
      <c r="G617" s="15"/>
      <c r="H617" s="15"/>
    </row>
    <row r="618" spans="1:8">
      <c r="A618" s="11"/>
      <c r="B618" s="2"/>
      <c r="C618" s="2"/>
      <c r="D618" s="2"/>
      <c r="E618" s="15"/>
      <c r="F618" s="2"/>
      <c r="G618" s="15"/>
      <c r="H618" s="15"/>
    </row>
    <row r="619" spans="1:8">
      <c r="A619" s="11"/>
      <c r="B619" s="2"/>
      <c r="C619" s="2"/>
      <c r="D619" s="2"/>
      <c r="E619" s="15"/>
      <c r="F619" s="2"/>
      <c r="G619" s="15"/>
      <c r="H619" s="15"/>
    </row>
    <row r="620" spans="1:8">
      <c r="A620" s="11"/>
      <c r="B620" s="2"/>
      <c r="C620" s="2"/>
      <c r="D620" s="2"/>
      <c r="E620" s="15"/>
      <c r="F620" s="2"/>
      <c r="G620" s="15"/>
      <c r="H620" s="15"/>
    </row>
    <row r="621" spans="1:8">
      <c r="A621" s="11"/>
      <c r="B621" s="2"/>
      <c r="C621" s="2"/>
      <c r="D621" s="2"/>
      <c r="E621" s="15"/>
      <c r="F621" s="2"/>
      <c r="G621" s="15"/>
      <c r="H621" s="15"/>
    </row>
    <row r="622" spans="1:8">
      <c r="A622" s="11"/>
      <c r="B622" s="2"/>
      <c r="C622" s="2"/>
      <c r="D622" s="2"/>
      <c r="E622" s="15"/>
      <c r="F622" s="2"/>
      <c r="G622" s="15"/>
      <c r="H622" s="15"/>
    </row>
    <row r="623" spans="1:8">
      <c r="A623" s="11"/>
      <c r="B623" s="2"/>
      <c r="C623" s="2"/>
      <c r="D623" s="2"/>
      <c r="E623" s="15"/>
      <c r="F623" s="2"/>
      <c r="G623" s="15"/>
      <c r="H623" s="15"/>
    </row>
    <row r="624" spans="1:8">
      <c r="A624" s="11"/>
      <c r="B624" s="2"/>
      <c r="C624" s="2"/>
      <c r="D624" s="2"/>
      <c r="E624" s="15"/>
      <c r="F624" s="2"/>
      <c r="G624" s="15"/>
      <c r="H624" s="15"/>
    </row>
    <row r="625" spans="1:8">
      <c r="A625" s="11"/>
      <c r="B625" s="2"/>
      <c r="C625" s="2"/>
      <c r="D625" s="2"/>
      <c r="E625" s="15"/>
      <c r="F625" s="2"/>
      <c r="G625" s="15"/>
      <c r="H625" s="15"/>
    </row>
    <row r="626" spans="1:8">
      <c r="A626" s="11"/>
      <c r="B626" s="2"/>
      <c r="C626" s="2"/>
      <c r="D626" s="2"/>
      <c r="E626" s="15"/>
      <c r="F626" s="2"/>
      <c r="G626" s="15"/>
      <c r="H626" s="15"/>
    </row>
    <row r="627" spans="1:8">
      <c r="A627" s="11"/>
      <c r="B627" s="2"/>
      <c r="C627" s="2"/>
      <c r="D627" s="2"/>
      <c r="E627" s="15"/>
      <c r="F627" s="2"/>
      <c r="G627" s="15"/>
      <c r="H627" s="15"/>
    </row>
    <row r="628" spans="1:8">
      <c r="A628" s="11"/>
      <c r="B628" s="2"/>
      <c r="C628" s="2"/>
      <c r="D628" s="2"/>
      <c r="E628" s="15"/>
      <c r="F628" s="2"/>
      <c r="G628" s="15"/>
      <c r="H628" s="15"/>
    </row>
    <row r="629" spans="1:8">
      <c r="A629" s="11"/>
      <c r="B629" s="2"/>
      <c r="C629" s="2"/>
      <c r="D629" s="2"/>
      <c r="E629" s="15"/>
      <c r="F629" s="2"/>
      <c r="G629" s="15"/>
      <c r="H629" s="15"/>
    </row>
    <row r="630" spans="1:8">
      <c r="A630" s="11"/>
      <c r="B630" s="2"/>
      <c r="C630" s="2"/>
      <c r="D630" s="2"/>
      <c r="E630" s="15"/>
      <c r="F630" s="2"/>
      <c r="G630" s="15"/>
      <c r="H630" s="15"/>
    </row>
    <row r="631" spans="1:8">
      <c r="A631" s="11"/>
      <c r="B631" s="2"/>
      <c r="C631" s="2"/>
      <c r="D631" s="2"/>
      <c r="E631" s="15"/>
      <c r="F631" s="2"/>
      <c r="G631" s="15"/>
      <c r="H631" s="15"/>
    </row>
    <row r="632" spans="1:8">
      <c r="A632" s="11"/>
      <c r="B632" s="2"/>
      <c r="C632" s="2"/>
      <c r="D632" s="2"/>
      <c r="E632" s="15"/>
      <c r="F632" s="2"/>
      <c r="G632" s="15"/>
      <c r="H632" s="15"/>
    </row>
    <row r="633" spans="1:8">
      <c r="A633" s="11"/>
      <c r="B633" s="2"/>
      <c r="C633" s="2"/>
      <c r="D633" s="2"/>
      <c r="E633" s="15"/>
      <c r="F633" s="2"/>
      <c r="G633" s="15"/>
      <c r="H633" s="15"/>
    </row>
    <row r="634" spans="1:8">
      <c r="A634" s="11"/>
      <c r="B634" s="2"/>
      <c r="C634" s="2"/>
      <c r="D634" s="2"/>
      <c r="E634" s="15"/>
      <c r="F634" s="2"/>
      <c r="G634" s="15"/>
      <c r="H634" s="15"/>
    </row>
    <row r="635" spans="1:8">
      <c r="A635" s="11"/>
      <c r="B635" s="2"/>
      <c r="C635" s="2"/>
      <c r="D635" s="2"/>
      <c r="E635" s="15"/>
      <c r="F635" s="2"/>
      <c r="G635" s="15"/>
      <c r="H635" s="15"/>
    </row>
    <row r="636" spans="1:8">
      <c r="A636" s="11"/>
      <c r="B636" s="2"/>
      <c r="C636" s="2"/>
      <c r="D636" s="2"/>
      <c r="E636" s="15"/>
      <c r="F636" s="2"/>
      <c r="G636" s="15"/>
      <c r="H636" s="15"/>
    </row>
    <row r="637" spans="1:8">
      <c r="A637" s="11"/>
      <c r="B637" s="2"/>
      <c r="C637" s="2"/>
      <c r="D637" s="2"/>
      <c r="E637" s="15"/>
      <c r="F637" s="2"/>
      <c r="G637" s="15"/>
      <c r="H637" s="15"/>
    </row>
    <row r="638" spans="1:8">
      <c r="A638" s="11"/>
      <c r="B638" s="2"/>
      <c r="C638" s="2"/>
      <c r="D638" s="2"/>
      <c r="E638" s="15"/>
      <c r="F638" s="2"/>
      <c r="G638" s="15"/>
      <c r="H638" s="15"/>
    </row>
    <row r="639" spans="1:8">
      <c r="A639" s="11"/>
      <c r="B639" s="2"/>
      <c r="C639" s="2"/>
      <c r="D639" s="2"/>
      <c r="E639" s="15"/>
      <c r="F639" s="2"/>
      <c r="G639" s="15"/>
      <c r="H639" s="15"/>
    </row>
    <row r="640" spans="1:8">
      <c r="A640" s="11"/>
      <c r="B640" s="2"/>
      <c r="C640" s="2"/>
      <c r="D640" s="2"/>
      <c r="E640" s="15"/>
      <c r="F640" s="2"/>
      <c r="G640" s="15"/>
      <c r="H640" s="15"/>
    </row>
    <row r="641" spans="1:8">
      <c r="A641" s="11"/>
      <c r="B641" s="2"/>
      <c r="C641" s="2"/>
      <c r="D641" s="2"/>
      <c r="E641" s="15"/>
      <c r="F641" s="2"/>
      <c r="G641" s="15"/>
      <c r="H641" s="15"/>
    </row>
    <row r="642" spans="1:8">
      <c r="A642" s="11"/>
      <c r="B642" s="2"/>
      <c r="C642" s="2"/>
      <c r="D642" s="2"/>
      <c r="E642" s="15"/>
      <c r="F642" s="2"/>
      <c r="G642" s="15"/>
      <c r="H642" s="15"/>
    </row>
    <row r="643" spans="1:8">
      <c r="A643" s="11"/>
      <c r="B643" s="2"/>
      <c r="C643" s="2"/>
      <c r="D643" s="2"/>
      <c r="E643" s="15"/>
      <c r="F643" s="2"/>
      <c r="G643" s="15"/>
      <c r="H643" s="15"/>
    </row>
    <row r="644" spans="1:8">
      <c r="A644" s="11"/>
      <c r="B644" s="2"/>
      <c r="C644" s="2"/>
      <c r="D644" s="2"/>
      <c r="E644" s="15"/>
      <c r="F644" s="2"/>
      <c r="G644" s="15"/>
      <c r="H644" s="15"/>
    </row>
    <row r="645" spans="1:8">
      <c r="A645" s="11"/>
      <c r="B645" s="2"/>
      <c r="C645" s="2"/>
      <c r="D645" s="2"/>
      <c r="E645" s="15"/>
      <c r="F645" s="2"/>
      <c r="G645" s="15"/>
      <c r="H645" s="15"/>
    </row>
    <row r="646" spans="1:8">
      <c r="A646" s="11"/>
      <c r="B646" s="2"/>
      <c r="C646" s="2"/>
      <c r="D646" s="2"/>
      <c r="E646" s="15"/>
      <c r="F646" s="2"/>
      <c r="G646" s="15"/>
      <c r="H646" s="15"/>
    </row>
    <row r="647" spans="1:8">
      <c r="A647" s="11"/>
      <c r="B647" s="2"/>
      <c r="C647" s="2"/>
      <c r="D647" s="2"/>
      <c r="E647" s="15"/>
      <c r="F647" s="2"/>
      <c r="G647" s="15"/>
      <c r="H647" s="15"/>
    </row>
    <row r="648" spans="1:8">
      <c r="A648" s="11"/>
      <c r="B648" s="2"/>
      <c r="C648" s="2"/>
      <c r="D648" s="2"/>
      <c r="E648" s="15"/>
      <c r="F648" s="2"/>
      <c r="G648" s="15"/>
      <c r="H648" s="15"/>
    </row>
    <row r="649" spans="1:8">
      <c r="A649" s="11"/>
      <c r="B649" s="2"/>
      <c r="C649" s="2"/>
      <c r="D649" s="2"/>
      <c r="E649" s="15"/>
      <c r="F649" s="2"/>
      <c r="G649" s="15"/>
      <c r="H649" s="15"/>
    </row>
    <row r="650" spans="1:8">
      <c r="A650" s="11"/>
      <c r="B650" s="2"/>
      <c r="C650" s="2"/>
      <c r="D650" s="2"/>
      <c r="E650" s="15"/>
      <c r="F650" s="2"/>
      <c r="G650" s="15"/>
      <c r="H650" s="15"/>
    </row>
    <row r="651" spans="1:8">
      <c r="A651" s="11"/>
      <c r="B651" s="2"/>
      <c r="C651" s="2"/>
      <c r="D651" s="2"/>
      <c r="E651" s="15"/>
      <c r="F651" s="2"/>
      <c r="G651" s="15"/>
      <c r="H651" s="15"/>
    </row>
    <row r="652" spans="1:8">
      <c r="A652" s="11"/>
      <c r="B652" s="2"/>
      <c r="C652" s="2"/>
      <c r="D652" s="2"/>
      <c r="E652" s="15"/>
      <c r="F652" s="2"/>
      <c r="G652" s="15"/>
      <c r="H652" s="15"/>
    </row>
    <row r="653" spans="1:8">
      <c r="A653" s="11"/>
      <c r="B653" s="2"/>
      <c r="C653" s="2"/>
      <c r="D653" s="2"/>
      <c r="E653" s="15"/>
      <c r="F653" s="2"/>
      <c r="G653" s="15"/>
      <c r="H653" s="15"/>
    </row>
    <row r="654" spans="1:8">
      <c r="A654" s="11"/>
      <c r="B654" s="2"/>
      <c r="C654" s="2"/>
      <c r="D654" s="2"/>
      <c r="E654" s="15"/>
      <c r="F654" s="2"/>
      <c r="G654" s="15"/>
      <c r="H654" s="15"/>
    </row>
    <row r="655" spans="1:8">
      <c r="A655" s="11"/>
      <c r="B655" s="2"/>
      <c r="C655" s="2"/>
      <c r="D655" s="2"/>
      <c r="E655" s="15"/>
      <c r="F655" s="2"/>
      <c r="G655" s="15"/>
      <c r="H655" s="15"/>
    </row>
    <row r="656" spans="1:8">
      <c r="A656" s="11"/>
      <c r="B656" s="2"/>
      <c r="C656" s="2"/>
      <c r="D656" s="2"/>
      <c r="E656" s="15"/>
      <c r="F656" s="2"/>
      <c r="G656" s="15"/>
      <c r="H656" s="15"/>
    </row>
    <row r="657" spans="1:8">
      <c r="A657" s="11"/>
      <c r="B657" s="2"/>
      <c r="C657" s="2"/>
      <c r="D657" s="2"/>
      <c r="E657" s="15"/>
      <c r="F657" s="2"/>
      <c r="G657" s="15"/>
      <c r="H657" s="15"/>
    </row>
    <row r="658" spans="1:8">
      <c r="A658" s="11"/>
      <c r="B658" s="2"/>
      <c r="C658" s="2"/>
      <c r="D658" s="2"/>
      <c r="E658" s="15"/>
      <c r="F658" s="2"/>
      <c r="G658" s="15"/>
      <c r="H658" s="15"/>
    </row>
    <row r="659" spans="1:8">
      <c r="A659" s="11"/>
      <c r="B659" s="2"/>
      <c r="C659" s="2"/>
      <c r="D659" s="2"/>
      <c r="E659" s="15"/>
      <c r="F659" s="2"/>
      <c r="G659" s="15"/>
      <c r="H659" s="15"/>
    </row>
    <row r="660" spans="1:8">
      <c r="A660" s="11"/>
      <c r="B660" s="2"/>
      <c r="C660" s="2"/>
      <c r="D660" s="2"/>
      <c r="E660" s="15"/>
      <c r="F660" s="2"/>
      <c r="G660" s="15"/>
      <c r="H660" s="15"/>
    </row>
    <row r="661" spans="1:8">
      <c r="A661" s="11"/>
      <c r="B661" s="2"/>
      <c r="C661" s="2"/>
      <c r="D661" s="2"/>
      <c r="E661" s="15"/>
      <c r="F661" s="2"/>
      <c r="G661" s="15"/>
      <c r="H661" s="15"/>
    </row>
    <row r="662" spans="1:8">
      <c r="A662" s="11"/>
      <c r="B662" s="2"/>
      <c r="C662" s="2"/>
      <c r="D662" s="2"/>
      <c r="E662" s="15"/>
      <c r="F662" s="2"/>
      <c r="G662" s="15"/>
      <c r="H662" s="15"/>
    </row>
    <row r="663" spans="1:8">
      <c r="A663" s="11"/>
      <c r="B663" s="2"/>
      <c r="C663" s="2"/>
      <c r="D663" s="2"/>
      <c r="E663" s="15"/>
      <c r="F663" s="2"/>
      <c r="G663" s="15"/>
      <c r="H663" s="15"/>
    </row>
    <row r="664" spans="1:8">
      <c r="A664" s="11"/>
      <c r="B664" s="2"/>
      <c r="C664" s="2"/>
      <c r="D664" s="2"/>
      <c r="E664" s="15"/>
      <c r="F664" s="2"/>
      <c r="G664" s="15"/>
      <c r="H664" s="15"/>
    </row>
    <row r="665" spans="1:8">
      <c r="A665" s="11"/>
      <c r="B665" s="2"/>
      <c r="C665" s="2"/>
      <c r="D665" s="2"/>
      <c r="E665" s="15"/>
      <c r="F665" s="2"/>
      <c r="G665" s="15"/>
      <c r="H665" s="15"/>
    </row>
    <row r="666" spans="1:8">
      <c r="A666" s="11"/>
      <c r="B666" s="2"/>
      <c r="C666" s="2"/>
      <c r="D666" s="2"/>
      <c r="E666" s="15"/>
      <c r="F666" s="2"/>
      <c r="G666" s="15"/>
      <c r="H666" s="15"/>
    </row>
    <row r="667" spans="1:8">
      <c r="A667" s="11"/>
      <c r="B667" s="2"/>
      <c r="C667" s="2"/>
      <c r="D667" s="2"/>
      <c r="E667" s="15"/>
      <c r="F667" s="2"/>
      <c r="G667" s="15"/>
      <c r="H667" s="15"/>
    </row>
    <row r="668" spans="1:8">
      <c r="A668" s="11"/>
      <c r="B668" s="2"/>
      <c r="C668" s="2"/>
      <c r="D668" s="2"/>
      <c r="E668" s="15"/>
      <c r="F668" s="2"/>
      <c r="G668" s="15"/>
      <c r="H668" s="15"/>
    </row>
    <row r="669" spans="1:8">
      <c r="A669" s="11"/>
      <c r="B669" s="2"/>
      <c r="C669" s="2"/>
      <c r="D669" s="2"/>
      <c r="E669" s="15"/>
      <c r="F669" s="2"/>
      <c r="G669" s="15"/>
      <c r="H669" s="15"/>
    </row>
    <row r="670" spans="1:8">
      <c r="A670" s="11"/>
      <c r="B670" s="2"/>
      <c r="C670" s="2"/>
      <c r="D670" s="2"/>
      <c r="E670" s="15"/>
      <c r="F670" s="2"/>
      <c r="G670" s="15"/>
      <c r="H670" s="15"/>
    </row>
    <row r="671" spans="1:8">
      <c r="A671" s="11"/>
      <c r="B671" s="2"/>
      <c r="C671" s="2"/>
      <c r="D671" s="2"/>
      <c r="E671" s="15"/>
      <c r="F671" s="2"/>
      <c r="G671" s="15"/>
      <c r="H671" s="15"/>
    </row>
    <row r="672" spans="1:8">
      <c r="A672" s="11"/>
      <c r="B672" s="2"/>
      <c r="C672" s="2"/>
      <c r="D672" s="2"/>
      <c r="E672" s="15"/>
      <c r="F672" s="2"/>
      <c r="G672" s="15"/>
      <c r="H672" s="15"/>
    </row>
    <row r="673" spans="1:8">
      <c r="A673" s="11"/>
      <c r="B673" s="2"/>
      <c r="C673" s="2"/>
      <c r="D673" s="2"/>
      <c r="E673" s="15"/>
      <c r="F673" s="2"/>
      <c r="G673" s="15"/>
      <c r="H673" s="15"/>
    </row>
    <row r="674" spans="1:8">
      <c r="A674" s="11"/>
      <c r="B674" s="2"/>
      <c r="C674" s="2"/>
      <c r="D674" s="2"/>
      <c r="E674" s="15"/>
      <c r="F674" s="2"/>
      <c r="G674" s="15"/>
      <c r="H674" s="15"/>
    </row>
    <row r="675" spans="1:8">
      <c r="A675" s="11"/>
      <c r="B675" s="2"/>
      <c r="C675" s="2"/>
      <c r="D675" s="2"/>
      <c r="E675" s="15"/>
      <c r="F675" s="2"/>
      <c r="G675" s="15"/>
      <c r="H675" s="15"/>
    </row>
    <row r="676" spans="1:8">
      <c r="A676" s="11"/>
      <c r="B676" s="2"/>
      <c r="C676" s="2"/>
      <c r="D676" s="2"/>
      <c r="E676" s="15"/>
      <c r="F676" s="2"/>
      <c r="G676" s="15"/>
      <c r="H676" s="15"/>
    </row>
    <row r="677" spans="1:8">
      <c r="A677" s="11"/>
      <c r="B677" s="2"/>
      <c r="C677" s="2"/>
      <c r="D677" s="2"/>
      <c r="E677" s="15"/>
      <c r="F677" s="2"/>
      <c r="G677" s="15"/>
      <c r="H677" s="15"/>
    </row>
    <row r="678" spans="1:8">
      <c r="A678" s="11"/>
      <c r="B678" s="2"/>
      <c r="C678" s="2"/>
      <c r="D678" s="2"/>
      <c r="E678" s="15"/>
      <c r="F678" s="2"/>
      <c r="G678" s="15"/>
      <c r="H678" s="15"/>
    </row>
    <row r="679" spans="1:8">
      <c r="A679" s="11"/>
      <c r="B679" s="2"/>
      <c r="C679" s="2"/>
      <c r="D679" s="2"/>
      <c r="E679" s="15"/>
      <c r="F679" s="2"/>
      <c r="G679" s="15"/>
      <c r="H679" s="15"/>
    </row>
    <row r="680" spans="1:8">
      <c r="A680" s="11"/>
      <c r="B680" s="2"/>
      <c r="C680" s="2"/>
      <c r="D680" s="2"/>
      <c r="E680" s="15"/>
      <c r="F680" s="2"/>
      <c r="G680" s="15"/>
      <c r="H680" s="15"/>
    </row>
    <row r="681" spans="1:8">
      <c r="A681" s="11"/>
      <c r="B681" s="2"/>
      <c r="C681" s="2"/>
      <c r="D681" s="2"/>
      <c r="E681" s="15"/>
      <c r="F681" s="2"/>
      <c r="G681" s="15"/>
      <c r="H681" s="15"/>
    </row>
    <row r="682" spans="1:8">
      <c r="A682" s="11"/>
      <c r="B682" s="2"/>
      <c r="C682" s="2"/>
      <c r="D682" s="2"/>
      <c r="E682" s="15"/>
      <c r="F682" s="2"/>
      <c r="G682" s="15"/>
      <c r="H682" s="15"/>
    </row>
    <row r="683" spans="1:8">
      <c r="A683" s="11"/>
      <c r="B683" s="2"/>
      <c r="C683" s="2"/>
      <c r="D683" s="2"/>
      <c r="E683" s="15"/>
      <c r="F683" s="2"/>
      <c r="G683" s="15"/>
      <c r="H683" s="15"/>
    </row>
    <row r="684" spans="1:8">
      <c r="A684" s="11"/>
      <c r="B684" s="2"/>
      <c r="C684" s="2"/>
      <c r="D684" s="2"/>
      <c r="E684" s="15"/>
      <c r="F684" s="2"/>
      <c r="G684" s="15"/>
      <c r="H684" s="15"/>
    </row>
    <row r="685" spans="1:8">
      <c r="A685" s="11"/>
      <c r="B685" s="2"/>
      <c r="C685" s="2"/>
      <c r="D685" s="2"/>
      <c r="E685" s="15"/>
      <c r="F685" s="2"/>
      <c r="G685" s="15"/>
      <c r="H685" s="15"/>
    </row>
    <row r="686" spans="1:8">
      <c r="A686" s="11"/>
      <c r="B686" s="2"/>
      <c r="C686" s="2"/>
      <c r="D686" s="2"/>
      <c r="E686" s="15"/>
      <c r="F686" s="2"/>
      <c r="G686" s="15"/>
      <c r="H686" s="15"/>
    </row>
    <row r="687" spans="1:8">
      <c r="A687" s="11"/>
      <c r="B687" s="2"/>
      <c r="C687" s="2"/>
      <c r="D687" s="2"/>
      <c r="E687" s="15"/>
      <c r="F687" s="2"/>
      <c r="G687" s="15"/>
      <c r="H687" s="15"/>
    </row>
    <row r="688" spans="1:8">
      <c r="A688" s="11"/>
      <c r="B688" s="2"/>
      <c r="C688" s="2"/>
      <c r="D688" s="2"/>
      <c r="E688" s="15"/>
      <c r="F688" s="2"/>
      <c r="G688" s="15"/>
      <c r="H688" s="15"/>
    </row>
    <row r="689" spans="1:8">
      <c r="A689" s="11"/>
      <c r="B689" s="2"/>
      <c r="C689" s="2"/>
      <c r="D689" s="2"/>
      <c r="E689" s="15"/>
      <c r="F689" s="2"/>
      <c r="G689" s="15"/>
      <c r="H689" s="15"/>
    </row>
    <row r="690" spans="1:8">
      <c r="A690" s="11"/>
      <c r="B690" s="2"/>
      <c r="C690" s="2"/>
      <c r="D690" s="2"/>
      <c r="E690" s="15"/>
      <c r="F690" s="2"/>
      <c r="G690" s="15"/>
      <c r="H690" s="15"/>
    </row>
    <row r="691" spans="1:8">
      <c r="A691" s="11"/>
      <c r="B691" s="2"/>
      <c r="C691" s="2"/>
      <c r="D691" s="2"/>
      <c r="E691" s="15"/>
      <c r="F691" s="2"/>
      <c r="G691" s="15"/>
      <c r="H691" s="15"/>
    </row>
    <row r="692" spans="1:8">
      <c r="A692" s="11"/>
      <c r="B692" s="2"/>
      <c r="C692" s="2"/>
      <c r="D692" s="2"/>
      <c r="E692" s="15"/>
      <c r="F692" s="2"/>
      <c r="G692" s="15"/>
      <c r="H692" s="15"/>
    </row>
  </sheetData>
  <dataValidations count="4">
    <dataValidation type="list" sqref="E5:E6" xr:uid="{00000000-0002-0000-0000-000000000000}">
      <formula1>"Yes,No"</formula1>
    </dataValidation>
    <dataValidation type="list" sqref="B27:B226" xr:uid="{00000000-0002-0000-0000-000001000000}">
      <formula1>"Buy,Sell,Exchange"</formula1>
    </dataValidation>
    <dataValidation type="list" sqref="C27:C226" xr:uid="{00000000-0002-0000-0000-000002000000}">
      <formula1>"SPY,IWM,IWD,IWF,VGK,EWJ,EEM,AGG,GLD,XLK,XLC,XLY,XLP,XLE,XLF,XLV,XLI,XLB,XLU"</formula1>
    </dataValidation>
    <dataValidation type="list" sqref="E27:F226" xr:uid="{00000000-0002-0000-0000-000003000000}">
      <formula1>"USD,JPY,EUR,AUD,CNY"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Time Slider">
              <controlPr defaultSize="0" autoPict="0">
                <anchor moveWithCells="1">
                  <from>
                    <xdr:col>7</xdr:col>
                    <xdr:colOff>12700</xdr:colOff>
                    <xdr:row>5</xdr:row>
                    <xdr:rowOff>12700</xdr:rowOff>
                  </from>
                  <to>
                    <xdr:col>11</xdr:col>
                    <xdr:colOff>520700</xdr:colOff>
                    <xdr:row>6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MonitorDates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 Advisor demo</dc:creator>
  <cp:lastModifiedBy>Robo Advisor demo</cp:lastModifiedBy>
  <dcterms:created xsi:type="dcterms:W3CDTF">2026-09-30T10:29:06Z</dcterms:created>
  <dcterms:modified xsi:type="dcterms:W3CDTF">2026-09-30T13:28:16Z</dcterms:modified>
</cp:coreProperties>
</file>